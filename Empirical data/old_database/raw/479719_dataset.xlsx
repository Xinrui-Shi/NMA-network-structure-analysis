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7"/>
  <workbookPr defaultThemeVersion="166925"/>
  <xr:revisionPtr revIDLastSave="0" documentId="8_{4E2B1B68-66F8-498B-870A-DBE4A1FAA8DB}" xr6:coauthVersionLast="43" xr6:coauthVersionMax="43" xr10:uidLastSave="{00000000-0000-0000-0000-000000000000}"/>
  <bookViews>
    <workbookView xWindow="0" yWindow="0" windowWidth="16384" windowHeight="8192" tabRatio="500" xr2:uid="{00000000-000D-0000-FFFF-FFFF00000000}"/>
  </bookViews>
  <sheets>
    <sheet name="Feuil1" sheetId="1" r:id="rId1"/>
    <sheet name="Feuil2" sheetId="2" r:id="rId2"/>
    <sheet name="Feuil3" sheetId="3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71" i="1" l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<sst xmlns="http://schemas.openxmlformats.org/spreadsheetml/2006/main" count="351" uniqueCount="346">
  <si>
    <t>study year</t>
  </si>
  <si>
    <t>study name</t>
  </si>
  <si>
    <t>id</t>
  </si>
  <si>
    <t>t1</t>
  </si>
  <si>
    <t>t2</t>
  </si>
  <si>
    <t>effect</t>
  </si>
  <si>
    <t>CIL</t>
  </si>
  <si>
    <t>CIH</t>
  </si>
  <si>
    <t>se</t>
  </si>
  <si>
    <t>Scheen 2006</t>
  </si>
  <si>
    <t>Schernthaner 2004b</t>
  </si>
  <si>
    <t>Schwarz 2008</t>
  </si>
  <si>
    <t>Schweizer 2007</t>
  </si>
  <si>
    <t>Scott 2008</t>
  </si>
  <si>
    <t>Seck 2010</t>
  </si>
  <si>
    <t>Stenlof 2007</t>
  </si>
  <si>
    <t>Stewart 2006</t>
  </si>
  <si>
    <t>Scherbaum 2008b</t>
  </si>
  <si>
    <t>Lebovitz 2001</t>
  </si>
  <si>
    <t>Lingvay 2009</t>
  </si>
  <si>
    <t>Liutkus 2010</t>
  </si>
  <si>
    <t>Marre 2002</t>
  </si>
  <si>
    <t>Marre 2002b</t>
  </si>
  <si>
    <t>Marre 2009</t>
  </si>
  <si>
    <t>Mattews 2010</t>
  </si>
  <si>
    <t>Mattoo 2005</t>
  </si>
  <si>
    <t>McCluskey 2004</t>
  </si>
  <si>
    <t>Mohan 2009</t>
  </si>
  <si>
    <t>Lewin 2007</t>
  </si>
  <si>
    <t>Zinman 2009</t>
  </si>
  <si>
    <t>Yoon KH 2011</t>
  </si>
  <si>
    <t>Yang W 2011</t>
  </si>
  <si>
    <t>Wright A 2002</t>
  </si>
  <si>
    <t>Wolfenbuttel 1999</t>
  </si>
  <si>
    <t>Wilding 2009</t>
  </si>
  <si>
    <t>Vilsboll 2010</t>
  </si>
  <si>
    <t>Visboll 2007</t>
  </si>
  <si>
    <t>Buse 2011</t>
  </si>
  <si>
    <t>St John Sutton 2002</t>
  </si>
  <si>
    <t>Saloranta 2002</t>
  </si>
  <si>
    <t>Tan 2005</t>
  </si>
  <si>
    <t>Rosenstock 2011</t>
  </si>
  <si>
    <t>Rosenstock 2010</t>
  </si>
  <si>
    <t>Russel-Jones 2009</t>
  </si>
  <si>
    <t>Rosenstock 2009</t>
  </si>
  <si>
    <t>Rosenstock 2008f</t>
  </si>
  <si>
    <t>Rosenstock 2008c</t>
  </si>
  <si>
    <t>Rosenstock 2008</t>
  </si>
  <si>
    <t>Rosenstock 2007b</t>
  </si>
  <si>
    <t>Rosenstock 2006d</t>
  </si>
  <si>
    <t>Rosenstock 2006c</t>
  </si>
  <si>
    <t>Rosenstock 2006b</t>
  </si>
  <si>
    <t>Rosenstock 2006</t>
  </si>
  <si>
    <t>Rosenstock 2004</t>
  </si>
  <si>
    <t>Roberts 2004</t>
  </si>
  <si>
    <t>Ristic 2006</t>
  </si>
  <si>
    <t>Ristic 2005</t>
  </si>
  <si>
    <t>Raz 2006</t>
  </si>
  <si>
    <t>Rhee 2010</t>
  </si>
  <si>
    <t>Reasner 2011</t>
  </si>
  <si>
    <t>Ratner 2010b</t>
  </si>
  <si>
    <t>Ratner 2010</t>
  </si>
  <si>
    <t>Raskin 2009</t>
  </si>
  <si>
    <t>Raskin 2009c</t>
  </si>
  <si>
    <t>Raskin 2004</t>
  </si>
  <si>
    <t>Ramachandran 2004</t>
  </si>
  <si>
    <t>Pratley 2011</t>
  </si>
  <si>
    <t>Pratley 2009</t>
  </si>
  <si>
    <t>Pi-Sunyer 2007</t>
  </si>
  <si>
    <t>Perriello 2006</t>
  </si>
  <si>
    <t>Phillips 2003b</t>
  </si>
  <si>
    <t>Pfutzner 2011</t>
  </si>
  <si>
    <t>Pan 2008</t>
  </si>
  <si>
    <t>Owens 2011</t>
  </si>
  <si>
    <t>Nonaka 2008</t>
  </si>
  <si>
    <t>Nagasaka 2004</t>
  </si>
  <si>
    <t>Nauck 2007</t>
  </si>
  <si>
    <t>Nauck 2007b</t>
  </si>
  <si>
    <t>Nauck 2009</t>
  </si>
  <si>
    <t>Nauck 2009b</t>
  </si>
  <si>
    <t>Moretto 2008</t>
  </si>
  <si>
    <t>Zinman 2007</t>
  </si>
  <si>
    <t>Zhao 2009</t>
  </si>
  <si>
    <t>Yale 2009</t>
  </si>
  <si>
    <t>Espositok 2011</t>
  </si>
  <si>
    <t>Ferrannini 2009</t>
  </si>
  <si>
    <t>Feinglos M 2005b</t>
  </si>
  <si>
    <t>Filozof 2010</t>
  </si>
  <si>
    <t>Fonseca 2003</t>
  </si>
  <si>
    <t>Forst 2010</t>
  </si>
  <si>
    <t>Freed 2002</t>
  </si>
  <si>
    <t>Fujoka 2005</t>
  </si>
  <si>
    <t>Garber 2002</t>
  </si>
  <si>
    <t>Gao 2009b</t>
  </si>
  <si>
    <t>Garber 2003</t>
  </si>
  <si>
    <t>Garber 2006</t>
  </si>
  <si>
    <t>Garber 2007</t>
  </si>
  <si>
    <t>Garber 2008</t>
  </si>
  <si>
    <t>Garber 2009</t>
  </si>
  <si>
    <t>Fogelfeld 2010</t>
  </si>
  <si>
    <t>Fonesca 2000</t>
  </si>
  <si>
    <t>Ferrannini 2010</t>
  </si>
  <si>
    <t>Gerich 2005</t>
  </si>
  <si>
    <t>Goke 2010</t>
  </si>
  <si>
    <t>Gerstein 2006</t>
  </si>
  <si>
    <t>Goldstein 2003</t>
  </si>
  <si>
    <t>Gomez-Perez 2002b</t>
  </si>
  <si>
    <t>Gomis 2011</t>
  </si>
  <si>
    <t>Gonzalez-Ortiz 2009</t>
  </si>
  <si>
    <t>Hanefled 2007</t>
  </si>
  <si>
    <t>Jadzinsky 2009</t>
  </si>
  <si>
    <t>Kikuchi 2010</t>
  </si>
  <si>
    <t>Kipnes 2010</t>
  </si>
  <si>
    <t>Kereneyi 2004</t>
  </si>
  <si>
    <t>Hermansen 2007</t>
  </si>
  <si>
    <t>Kaku 2009</t>
  </si>
  <si>
    <t>Kawamori 2009b</t>
  </si>
  <si>
    <t>Kadoglou 2010b</t>
  </si>
  <si>
    <t>Kaku 2010</t>
  </si>
  <si>
    <t>Kaku 2011</t>
  </si>
  <si>
    <t>Kadoglou 2007</t>
  </si>
  <si>
    <t>Halmi 2000</t>
  </si>
  <si>
    <t>Hanefeld and Sasche 2002</t>
  </si>
  <si>
    <t>Hanefeld 2004</t>
  </si>
  <si>
    <t>Hermann 2001</t>
  </si>
  <si>
    <t>Hollander 2003</t>
  </si>
  <si>
    <t>Kadowaki 2009</t>
  </si>
  <si>
    <t>Iwamoto 2010</t>
  </si>
  <si>
    <t>Iwamoto 2010b</t>
  </si>
  <si>
    <t>Goldstein 2007</t>
  </si>
  <si>
    <t>Kendall 2005</t>
  </si>
  <si>
    <t>Kendall 2006</t>
  </si>
  <si>
    <t>Kahn 2006</t>
  </si>
  <si>
    <t>Hollander et al 2007</t>
  </si>
  <si>
    <t>Hollander 2007</t>
  </si>
  <si>
    <t>Hollander et al 2011</t>
  </si>
  <si>
    <t>Hollander et al 2011b</t>
  </si>
  <si>
    <t>Gram 2011</t>
  </si>
  <si>
    <t>Home 2007b</t>
  </si>
  <si>
    <t>Home 2007c</t>
  </si>
  <si>
    <t>Goldberg 2008</t>
  </si>
  <si>
    <t>Gomez-Perez 2002</t>
  </si>
  <si>
    <t>Finer N 2000</t>
  </si>
  <si>
    <t>Fonseca 2008</t>
  </si>
  <si>
    <t>Fineman 2003</t>
  </si>
  <si>
    <t>Barzlai 2011</t>
  </si>
  <si>
    <t>Bergenstal 2009</t>
  </si>
  <si>
    <t>Foley 2009</t>
  </si>
  <si>
    <t>Heine 2006</t>
  </si>
  <si>
    <t>Hollander 2009</t>
  </si>
  <si>
    <t>Vongthavaravat 2002</t>
  </si>
  <si>
    <t>Umpierrez 2006</t>
  </si>
  <si>
    <t>Seino 2010</t>
  </si>
  <si>
    <t>Raz 2008</t>
  </si>
  <si>
    <t>Perriello 2007</t>
  </si>
  <si>
    <t>Raskin 2000</t>
  </si>
  <si>
    <t>Ratner 2002</t>
  </si>
  <si>
    <t>Rigby 2009</t>
  </si>
  <si>
    <t>Rosenstock 2009b</t>
  </si>
  <si>
    <t>Rubin 2009</t>
  </si>
  <si>
    <t>Rubin 2009b</t>
  </si>
  <si>
    <t>Rubin 2008</t>
  </si>
  <si>
    <t>Meneghini 2010</t>
  </si>
  <si>
    <t>Kaku 2009b</t>
  </si>
  <si>
    <t>Galwitz 2011</t>
  </si>
  <si>
    <t>Barnett 2006</t>
  </si>
  <si>
    <t>Barnett 2006b</t>
  </si>
  <si>
    <t>Bebakar 2007</t>
  </si>
  <si>
    <t>Bell 2011</t>
  </si>
  <si>
    <t>Bergenstal 2010</t>
  </si>
  <si>
    <t>Defronzo 2005</t>
  </si>
  <si>
    <t>Weissman 2006</t>
  </si>
  <si>
    <t>Seino 2011</t>
  </si>
  <si>
    <t>Terra 2011</t>
  </si>
  <si>
    <t>Aljabri K 2004</t>
  </si>
  <si>
    <t>Arechavaleta R 2011</t>
  </si>
  <si>
    <t>Arnold S 2010</t>
  </si>
  <si>
    <t>Aschner P 2006</t>
  </si>
  <si>
    <t>Aschner PI 2010</t>
  </si>
  <si>
    <t>Bailey CJ 2005</t>
  </si>
  <si>
    <t>Baksi A 2004</t>
  </si>
  <si>
    <t>Bays HE 2008</t>
  </si>
  <si>
    <t>Chacra AR 2009</t>
  </si>
  <si>
    <t>Charbonnel BH 2005b</t>
  </si>
  <si>
    <t>Charpentier G 2009</t>
  </si>
  <si>
    <t>Chaisson JL 2001</t>
  </si>
  <si>
    <t>Chein HH 2007</t>
  </si>
  <si>
    <t>Chogtu B 2009</t>
  </si>
  <si>
    <t>Chou HS 2008</t>
  </si>
  <si>
    <t>Civera M 2008</t>
  </si>
  <si>
    <t>Daily GE 2004</t>
  </si>
  <si>
    <t>Davidson JA 2007</t>
  </si>
  <si>
    <t>DeFronzo RA 2008</t>
  </si>
  <si>
    <t>DeFronzo RA 2008b</t>
  </si>
  <si>
    <t>Del Prato S 2011</t>
  </si>
  <si>
    <t>Diamant M 2010</t>
  </si>
  <si>
    <t>Ebato C 2009</t>
  </si>
  <si>
    <t>Buse J 2009</t>
  </si>
  <si>
    <t>Buse J 2005</t>
  </si>
  <si>
    <t>Buse J 2004</t>
  </si>
  <si>
    <t>Bosi E 2009</t>
  </si>
  <si>
    <t>Borges JLC 2011</t>
  </si>
  <si>
    <t>Blickle JF 2009</t>
  </si>
  <si>
    <t>Benefit</t>
  </si>
  <si>
    <t>Outcome:</t>
  </si>
  <si>
    <t xml:space="preserve">patients achieving target HbA1c </t>
  </si>
  <si>
    <t>Treatments</t>
  </si>
  <si>
    <t>placebo</t>
  </si>
  <si>
    <t>metformin</t>
  </si>
  <si>
    <t>gibenclamide</t>
  </si>
  <si>
    <t>effect=OR</t>
  </si>
  <si>
    <t>gliclazide</t>
  </si>
  <si>
    <t>glipizide</t>
  </si>
  <si>
    <t>insulin</t>
  </si>
  <si>
    <t>glimepiride</t>
  </si>
  <si>
    <t>glyburide</t>
  </si>
  <si>
    <t>acarbose,</t>
  </si>
  <si>
    <t>exenatide</t>
  </si>
  <si>
    <t>rosiglitazone</t>
  </si>
  <si>
    <t>pioglitazone</t>
  </si>
  <si>
    <t>troglitazone,</t>
  </si>
  <si>
    <t>saxagliptin</t>
  </si>
  <si>
    <t>vidagliptin</t>
  </si>
  <si>
    <t>sibutramine</t>
  </si>
  <si>
    <t>rimonabant</t>
  </si>
  <si>
    <t>liraglutide,</t>
  </si>
  <si>
    <r>
      <rPr>
        <sz val="8"/>
        <rFont val="AdvTTe432b1dc"/>
        <charset val="1"/>
      </rPr>
      <t>dapagli</t>
    </r>
    <r>
      <rPr>
        <sz val="8"/>
        <rFont val="AdvTTe432b1dc+fb"/>
        <charset val="1"/>
      </rPr>
      <t>fl</t>
    </r>
    <r>
      <rPr>
        <sz val="8"/>
        <rFont val="AdvTTe432b1dc"/>
        <charset val="1"/>
      </rPr>
      <t>ozin</t>
    </r>
  </si>
  <si>
    <t>gluquidone</t>
  </si>
  <si>
    <t>voglibose</t>
  </si>
  <si>
    <t>rivoglitazone</t>
  </si>
  <si>
    <t>tesaglitazar,</t>
  </si>
  <si>
    <t>sitagliptin</t>
  </si>
  <si>
    <t>repaglinide</t>
  </si>
  <si>
    <t>taspoglutide</t>
  </si>
  <si>
    <t>miglitol</t>
  </si>
  <si>
    <t>nateglinide</t>
  </si>
  <si>
    <r>
      <rPr>
        <sz val="8"/>
        <rFont val="AdvTTe432b1dc"/>
        <charset val="1"/>
      </rPr>
      <t>ben</t>
    </r>
    <r>
      <rPr>
        <sz val="8"/>
        <rFont val="AdvTTe432b1dc+fb"/>
        <charset val="1"/>
      </rPr>
      <t>fl</t>
    </r>
    <r>
      <rPr>
        <sz val="8"/>
        <rFont val="AdvTTe432b1dc"/>
        <charset val="1"/>
      </rPr>
      <t>uorex</t>
    </r>
  </si>
  <si>
    <t>orlistat</t>
  </si>
  <si>
    <r>
      <rPr>
        <sz val="8"/>
        <rFont val="AdvTTe432b1dc"/>
        <charset val="1"/>
      </rPr>
      <t>INT131 besylate (PPAR</t>
    </r>
    <r>
      <rPr>
        <sz val="8"/>
        <rFont val="AdvOT8608a8d1+03"/>
        <charset val="1"/>
      </rPr>
      <t>γ</t>
    </r>
    <r>
      <rPr>
        <sz val="8"/>
        <rFont val="AdvTTe432b1dc"/>
        <charset val="1"/>
      </rPr>
      <t>),</t>
    </r>
  </si>
  <si>
    <t>linagliptin</t>
  </si>
  <si>
    <t>topiramate,</t>
  </si>
  <si>
    <t>balaglitazone</t>
  </si>
  <si>
    <t>taranabant</t>
  </si>
  <si>
    <t>alogliptin</t>
  </si>
  <si>
    <t xml:space="preserve">Prednisone </t>
  </si>
  <si>
    <t>dulogliptine</t>
  </si>
  <si>
    <t>lixisenatide</t>
  </si>
  <si>
    <t>albiglutide</t>
  </si>
  <si>
    <t>diacerein</t>
  </si>
  <si>
    <r>
      <rPr>
        <sz val="6"/>
        <rFont val="AdvTTe432b1dc"/>
        <charset val="1"/>
      </rPr>
      <t>L</t>
    </r>
    <r>
      <rPr>
        <sz val="8"/>
        <rFont val="AdvTTe432b1dc"/>
        <charset val="1"/>
      </rPr>
      <t xml:space="preserve">-carnitine </t>
    </r>
  </si>
  <si>
    <t>anakinra</t>
  </si>
  <si>
    <t>colesevelan</t>
  </si>
  <si>
    <r>
      <rPr>
        <sz val="8"/>
        <rFont val="AdvTTe432b1dc"/>
        <charset val="1"/>
      </rPr>
      <t>beza</t>
    </r>
    <r>
      <rPr>
        <sz val="8"/>
        <rFont val="AdvTTe432b1dc+fb"/>
        <charset val="1"/>
      </rPr>
      <t>fi</t>
    </r>
    <r>
      <rPr>
        <sz val="8"/>
        <rFont val="AdvTTe432b1dc"/>
        <charset val="1"/>
      </rPr>
      <t>brate</t>
    </r>
  </si>
  <si>
    <t xml:space="preserve">linoleic acid </t>
  </si>
  <si>
    <t>INCB-13739</t>
  </si>
  <si>
    <t>PF 734200</t>
  </si>
  <si>
    <t>rGLP-1</t>
  </si>
  <si>
    <t>tolbutamide</t>
  </si>
  <si>
    <t>dulagutide</t>
  </si>
  <si>
    <t>berberine,</t>
  </si>
  <si>
    <t>tolazamide</t>
  </si>
  <si>
    <t>mosapride</t>
  </si>
  <si>
    <t>erythromycin</t>
  </si>
  <si>
    <t xml:space="preserve">allopurinol </t>
  </si>
  <si>
    <r>
      <rPr>
        <sz val="8"/>
        <rFont val="AdvTTe432b1dc"/>
        <charset val="1"/>
      </rPr>
      <t>feno</t>
    </r>
    <r>
      <rPr>
        <sz val="8"/>
        <rFont val="AdvTTe432b1dc+fb"/>
        <charset val="1"/>
      </rPr>
      <t>fi</t>
    </r>
    <r>
      <rPr>
        <sz val="8"/>
        <rFont val="AdvTTe432b1dc"/>
        <charset val="1"/>
      </rPr>
      <t>brate</t>
    </r>
  </si>
  <si>
    <t>muraglitazar</t>
  </si>
  <si>
    <t>pramlintide</t>
  </si>
  <si>
    <t>bromocriptine</t>
  </si>
  <si>
    <t>colestilan</t>
  </si>
  <si>
    <t>atorvastatin/simvastatin</t>
  </si>
  <si>
    <t>aleglitazar</t>
  </si>
  <si>
    <t>mitiglinide</t>
  </si>
  <si>
    <r>
      <rPr>
        <sz val="8"/>
        <rFont val="AdvTTe432b1dc+fb"/>
        <charset val="1"/>
      </rPr>
      <t>fl</t>
    </r>
    <r>
      <rPr>
        <sz val="8"/>
        <rFont val="AdvTTe432b1dc"/>
        <charset val="1"/>
      </rPr>
      <t>uoxetine,</t>
    </r>
  </si>
  <si>
    <t xml:space="preserve">chromium picolinate </t>
  </si>
  <si>
    <t>chloropropamide</t>
  </si>
  <si>
    <t xml:space="preserve">VIT D3 </t>
  </si>
  <si>
    <t xml:space="preserve">salsalate </t>
  </si>
  <si>
    <t xml:space="preserve">Silymarin </t>
  </si>
  <si>
    <t xml:space="preserve">melatonin </t>
  </si>
  <si>
    <t xml:space="preserve">indomethacin </t>
  </si>
  <si>
    <t>ketokonazole</t>
  </si>
  <si>
    <t>DIO 902</t>
  </si>
  <si>
    <t xml:space="preserve">xylooligosaccharide </t>
  </si>
  <si>
    <t xml:space="preserve">leucine, </t>
  </si>
  <si>
    <t xml:space="preserve">vitamins, </t>
  </si>
  <si>
    <t xml:space="preserve">ramiprile </t>
  </si>
  <si>
    <t>NVP DPP728</t>
  </si>
  <si>
    <r>
      <rPr>
        <sz val="8"/>
        <rFont val="AdvTTe432b1dc"/>
        <charset val="1"/>
      </rPr>
      <t xml:space="preserve">T9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T1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T100 </t>
    </r>
  </si>
  <si>
    <t>Sulfonylureas</t>
  </si>
  <si>
    <r>
      <rPr>
        <sz val="8"/>
        <rFont val="AdvTTe432b1dc"/>
        <charset val="1"/>
      </rPr>
      <t xml:space="preserve">T1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T300 </t>
    </r>
  </si>
  <si>
    <r>
      <rPr>
        <sz val="8"/>
        <rFont val="AdvTTe432b1dc"/>
        <charset val="1"/>
      </rPr>
      <t xml:space="preserve">T1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T500 </t>
    </r>
  </si>
  <si>
    <r>
      <rPr>
        <sz val="8"/>
        <rFont val="AdvTTe432b1dc"/>
        <charset val="1"/>
      </rPr>
      <t xml:space="preserve">T1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T100 </t>
    </r>
  </si>
  <si>
    <r>
      <rPr>
        <sz val="8"/>
        <rFont val="AdvTTe432b1dc"/>
        <charset val="1"/>
      </rPr>
      <t xml:space="preserve">T1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>T200</t>
    </r>
  </si>
  <si>
    <r>
      <rPr>
        <sz val="8"/>
        <rFont val="AdvTTe432b1dc"/>
        <charset val="1"/>
      </rPr>
      <t xml:space="preserve">T100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>T400</t>
    </r>
  </si>
  <si>
    <r>
      <rPr>
        <sz val="8"/>
        <rFont val="AdvTTe432b1dc"/>
        <charset val="1"/>
      </rPr>
      <t xml:space="preserve">T200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>T5</t>
    </r>
  </si>
  <si>
    <r>
      <rPr>
        <sz val="8"/>
        <rFont val="AdvTTe432b1dc"/>
        <charset val="1"/>
      </rPr>
      <t xml:space="preserve">T400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>T1</t>
    </r>
  </si>
  <si>
    <r>
      <rPr>
        <sz val="8"/>
        <rFont val="AdvTTe432b1dc"/>
        <charset val="1"/>
      </rPr>
      <t xml:space="preserve">T200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>T300</t>
    </r>
  </si>
  <si>
    <r>
      <rPr>
        <sz val="8"/>
        <rFont val="AdvTTe432b1dc"/>
        <charset val="1"/>
      </rPr>
      <t xml:space="preserve">T300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>T5</t>
    </r>
  </si>
  <si>
    <r>
      <rPr>
        <sz val="8"/>
        <rFont val="AdvTTe432b1dc"/>
        <charset val="1"/>
      </rPr>
      <t xml:space="preserve">T18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>T5</t>
    </r>
  </si>
  <si>
    <r>
      <rPr>
        <sz val="8"/>
        <rFont val="AdvTTe432b1dc"/>
        <charset val="1"/>
      </rPr>
      <t xml:space="preserve">T400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>T5</t>
    </r>
  </si>
  <si>
    <r>
      <rPr>
        <sz val="8"/>
        <rFont val="AdvTTe432b1dc"/>
        <charset val="1"/>
      </rPr>
      <t xml:space="preserve">T1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T100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T400 </t>
    </r>
  </si>
  <si>
    <r>
      <rPr>
        <sz val="8"/>
        <rFont val="AdvTTe432b1dc"/>
        <charset val="1"/>
      </rPr>
      <t xml:space="preserve">T1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T100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T5 </t>
    </r>
  </si>
  <si>
    <r>
      <rPr>
        <sz val="8"/>
        <rFont val="AdvTTe432b1dc"/>
        <charset val="1"/>
      </rPr>
      <t xml:space="preserve">T1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T100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T200 </t>
    </r>
  </si>
  <si>
    <r>
      <rPr>
        <sz val="8"/>
        <rFont val="AdvTTe432b1dc"/>
        <charset val="1"/>
      </rPr>
      <t xml:space="preserve">T200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T500 </t>
    </r>
  </si>
  <si>
    <r>
      <rPr>
        <sz val="8"/>
        <rFont val="AdvTTe432b1dc"/>
        <charset val="1"/>
      </rPr>
      <t xml:space="preserve">T100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>T300</t>
    </r>
  </si>
  <si>
    <r>
      <rPr>
        <sz val="8"/>
        <rFont val="AdvTTe432b1dc"/>
        <charset val="1"/>
      </rPr>
      <t xml:space="preserve">T1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>T800</t>
    </r>
  </si>
  <si>
    <r>
      <rPr>
        <sz val="8"/>
        <rFont val="AdvTTe432b1dc"/>
        <charset val="1"/>
      </rPr>
      <t xml:space="preserve">T200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>T400</t>
    </r>
  </si>
  <si>
    <r>
      <rPr>
        <sz val="8"/>
        <rFont val="AdvTTe432b1dc"/>
        <charset val="1"/>
      </rPr>
      <t xml:space="preserve">T900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>T1</t>
    </r>
  </si>
  <si>
    <r>
      <rPr>
        <sz val="8"/>
        <rFont val="AdvTTe432b1dc"/>
        <charset val="1"/>
      </rPr>
      <t xml:space="preserve">T5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>T1</t>
    </r>
  </si>
  <si>
    <r>
      <rPr>
        <sz val="8"/>
        <rFont val="AdvTTe432b1dc"/>
        <charset val="1"/>
      </rPr>
      <t xml:space="preserve">T1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T5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T500 </t>
    </r>
  </si>
  <si>
    <r>
      <rPr>
        <sz val="8"/>
        <rFont val="AdvTTe432b1dc"/>
        <charset val="1"/>
      </rPr>
      <t xml:space="preserve">T1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T100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T800 </t>
    </r>
  </si>
  <si>
    <r>
      <rPr>
        <sz val="8"/>
        <rFont val="AdvTTe432b1dc"/>
        <charset val="1"/>
      </rPr>
      <t xml:space="preserve">T11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T128 </t>
    </r>
  </si>
  <si>
    <r>
      <rPr>
        <sz val="8"/>
        <rFont val="AdvTTe432b1dc"/>
        <charset val="1"/>
      </rPr>
      <t xml:space="preserve">T43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>T1</t>
    </r>
  </si>
  <si>
    <r>
      <rPr>
        <sz val="8"/>
        <rFont val="AdvTTe432b1dc"/>
        <charset val="1"/>
      </rPr>
      <t xml:space="preserve">T600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>T5</t>
    </r>
  </si>
  <si>
    <r>
      <rPr>
        <sz val="8"/>
        <rFont val="AdvTTe432b1dc"/>
        <charset val="1"/>
      </rPr>
      <t xml:space="preserve">T700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>T1</t>
    </r>
  </si>
  <si>
    <r>
      <rPr>
        <sz val="8"/>
        <rFont val="AdvTTe432b1dc"/>
        <charset val="1"/>
      </rPr>
      <t xml:space="preserve">T300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T5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T1 </t>
    </r>
  </si>
  <si>
    <r>
      <rPr>
        <sz val="8"/>
        <rFont val="AdvTTe432b1dc"/>
        <charset val="1"/>
      </rPr>
      <t xml:space="preserve">T1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T5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T200 </t>
    </r>
  </si>
  <si>
    <r>
      <rPr>
        <sz val="8"/>
        <rFont val="AdvTTe432b1dc"/>
        <charset val="1"/>
      </rPr>
      <t xml:space="preserve">T58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T5 </t>
    </r>
  </si>
  <si>
    <r>
      <rPr>
        <sz val="8"/>
        <rFont val="AdvTTe432b1dc"/>
        <charset val="1"/>
      </rPr>
      <t xml:space="preserve">T1000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>T1</t>
    </r>
  </si>
  <si>
    <r>
      <rPr>
        <sz val="8"/>
        <rFont val="AdvTTe432b1dc"/>
        <charset val="1"/>
      </rPr>
      <t xml:space="preserve">T700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>T200</t>
    </r>
  </si>
  <si>
    <r>
      <rPr>
        <sz val="8"/>
        <rFont val="AdvTTe432b1dc"/>
        <charset val="1"/>
      </rPr>
      <t xml:space="preserve">T700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>T100</t>
    </r>
  </si>
  <si>
    <r>
      <rPr>
        <sz val="8"/>
        <rFont val="AdvTTe432b1dc"/>
        <charset val="1"/>
      </rPr>
      <t xml:space="preserve">T1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T200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T400 </t>
    </r>
  </si>
  <si>
    <r>
      <rPr>
        <sz val="8"/>
        <rFont val="AdvTTe432b1dc"/>
        <charset val="1"/>
      </rPr>
      <t xml:space="preserve">T100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T200 </t>
    </r>
  </si>
  <si>
    <r>
      <rPr>
        <sz val="8"/>
        <rFont val="AdvTTe432b1dc"/>
        <charset val="1"/>
      </rPr>
      <t xml:space="preserve">T500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>T5</t>
    </r>
  </si>
  <si>
    <r>
      <rPr>
        <sz val="8"/>
        <rFont val="AdvTTe432b1dc"/>
        <charset val="1"/>
      </rPr>
      <t xml:space="preserve">T100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>T5</t>
    </r>
  </si>
  <si>
    <r>
      <rPr>
        <sz val="8"/>
        <rFont val="AdvTTe432b1dc"/>
        <charset val="1"/>
      </rPr>
      <t xml:space="preserve">T1000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T1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T100 </t>
    </r>
  </si>
  <si>
    <r>
      <rPr>
        <sz val="8"/>
        <rFont val="AdvTTe432b1dc"/>
        <charset val="1"/>
      </rPr>
      <t xml:space="preserve">T800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>T5</t>
    </r>
  </si>
  <si>
    <r>
      <rPr>
        <sz val="8"/>
        <rFont val="AdvTTe432b1dc"/>
        <charset val="1"/>
      </rPr>
      <t xml:space="preserve">T1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T5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T58 </t>
    </r>
  </si>
  <si>
    <r>
      <rPr>
        <sz val="8"/>
        <rFont val="AdvTTe432b1dc"/>
        <charset val="1"/>
      </rPr>
      <t xml:space="preserve">T1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T100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T300 </t>
    </r>
  </si>
  <si>
    <r>
      <rPr>
        <sz val="8"/>
        <rFont val="AdvTTe432b1dc"/>
        <charset val="1"/>
      </rPr>
      <t xml:space="preserve">T600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>T1</t>
    </r>
  </si>
  <si>
    <r>
      <rPr>
        <sz val="8"/>
        <rFont val="AdvTTe432b1dc"/>
        <charset val="1"/>
      </rPr>
      <t xml:space="preserve">T800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>T100</t>
    </r>
  </si>
  <si>
    <r>
      <rPr>
        <sz val="8"/>
        <rFont val="AdvTTe432b1dc"/>
        <charset val="1"/>
      </rPr>
      <t xml:space="preserve">T1300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T1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T100 </t>
    </r>
  </si>
  <si>
    <r>
      <rPr>
        <sz val="8"/>
        <rFont val="AdvTTe432b1dc"/>
        <charset val="1"/>
      </rPr>
      <t xml:space="preserve">T1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T200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T300 </t>
    </r>
  </si>
  <si>
    <r>
      <rPr>
        <sz val="8"/>
        <rFont val="AdvTTe432b1dc"/>
        <charset val="1"/>
      </rPr>
      <t xml:space="preserve">T600 </t>
    </r>
    <r>
      <rPr>
        <sz val="8"/>
        <rFont val="AdvMacMthSyN"/>
        <charset val="1"/>
      </rPr>
      <t xml:space="preserve">þ </t>
    </r>
    <r>
      <rPr>
        <sz val="8"/>
        <rFont val="AdvTTe432b1dc"/>
        <charset val="1"/>
      </rPr>
      <t xml:space="preserve">T1300 </t>
    </r>
  </si>
  <si>
    <r>
      <rPr>
        <sz val="8"/>
        <rFont val="AdvLvm"/>
        <charset val="1"/>
      </rPr>
      <t>Glitazones on PPAR</t>
    </r>
    <r>
      <rPr>
        <sz val="8"/>
        <rFont val="AdvOT8608a8d1+03"/>
        <charset val="1"/>
      </rPr>
      <t>γ</t>
    </r>
  </si>
  <si>
    <t>Dipeptidyl peptidase-4 inhibitors</t>
  </si>
  <si>
    <t>GLP-1 agonists</t>
  </si>
  <si>
    <t>Meglitinidines</t>
  </si>
  <si>
    <t>Anorexiants/ CNS active</t>
  </si>
  <si>
    <r>
      <rPr>
        <sz val="8"/>
        <rFont val="AdvLvm"/>
        <charset val="1"/>
      </rPr>
      <t>Peroxisome proliferator-activated receptor agonist (PPAR</t>
    </r>
    <r>
      <rPr>
        <sz val="8"/>
        <rFont val="AdvOT8608a8d1+03"/>
        <charset val="1"/>
      </rPr>
      <t>α</t>
    </r>
    <r>
      <rPr>
        <sz val="8"/>
        <rFont val="AdvLvm"/>
        <charset val="1"/>
      </rPr>
      <t>, PPR</t>
    </r>
    <r>
      <rPr>
        <sz val="8"/>
        <rFont val="AdvOT8608a8d1+03"/>
        <charset val="1"/>
      </rPr>
      <t>γ</t>
    </r>
    <r>
      <rPr>
        <sz val="8"/>
        <rFont val="AdvLvm"/>
        <charset val="1"/>
      </rPr>
      <t>)</t>
    </r>
  </si>
  <si>
    <r>
      <rPr>
        <sz val="8"/>
        <rFont val="AdvOT8608a8d1+03"/>
        <charset val="1"/>
      </rPr>
      <t>α</t>
    </r>
    <r>
      <rPr>
        <sz val="8"/>
        <rFont val="AdvLvm"/>
        <charset val="1"/>
      </rPr>
      <t>-Glucosidase inhibitor</t>
    </r>
  </si>
  <si>
    <t>Hypolipidemic Drugs</t>
  </si>
  <si>
    <t>Bile acid binding</t>
  </si>
  <si>
    <t>Interleukin-1 inhibitors</t>
  </si>
  <si>
    <t>Antibiotics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</si>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</sst>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1"/>
      <name val="Calibri"/>
      <family val="2"/>
      <charset val="1"/>
    </font>
    <font>
      <sz val="10"/>
      <name val="Calibri"/>
      <family val="2"/>
      <charset val="1"/>
    </font>
    <font>
      <sz val="11"/>
      <name val="Calibri"/>
      <family val="2"/>
      <charset val="1"/>
    </font>
    <font>
      <sz val="10"/>
      <name val="Times New Roman"/>
      <family val="1"/>
      <charset val="1"/>
    </font>
    <font>
      <sz val="8"/>
      <name val="AdvTTe432b1dc"/>
      <charset val="1"/>
    </font>
    <font>
      <sz val="10"/>
      <name val="Humanist521BT"/>
      <charset val="1"/>
    </font>
    <font>
      <sz val="8"/>
      <name val="AdvTTe432b1dc+fb"/>
      <charset val="1"/>
    </font>
    <font>
      <sz val="8"/>
      <name val="AdvOT8608a8d1+03"/>
      <charset val="1"/>
    </font>
    <font>
      <sz val="6"/>
      <name val="AdvTTe432b1dc"/>
      <charset val="1"/>
    </font>
    <font>
      <sz val="8"/>
      <name val="AdvMacMthSyN"/>
      <charset val="1"/>
    </font>
    <font>
      <sz val="8"/>
      <name val="AdvLvm"/>
      <charset val="1"/>
    </font>
  </fonts>
  <fills count="3">
    <fill>
      <patternFill patternType="none"/>
    </fill>
    <fill>
      <patternFill patternType="gray125"/>
    </fill>
    <fill>
      <patternFill patternType="solid">
        <fgColor rgb="FFDCE6F2"/>
        <bgColor rgb="FFCCFFFF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0" xfId="0" applyAlignment="1"/>
    <xf numFmtId="2" fontId="0" fillId="0" borderId="0" xfId="0" applyNumberFormat="1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2" fontId="2" fillId="0" borderId="0" xfId="1" applyNumberFormat="1" applyFont="1" applyAlignment="1">
      <alignment horizontal="center" vertical="center"/>
    </xf>
    <xf numFmtId="0" fontId="4" fillId="0" borderId="0" xfId="1" applyFont="1"/>
    <xf numFmtId="0" fontId="5" fillId="0" borderId="0" xfId="1" applyFont="1"/>
    <xf numFmtId="0" fontId="1" fillId="0" borderId="0" xfId="1" applyFont="1" applyAlignment="1">
      <alignment wrapText="1"/>
    </xf>
    <xf numFmtId="0" fontId="6" fillId="0" borderId="0" xfId="1" applyFont="1" applyAlignment="1"/>
    <xf numFmtId="0" fontId="7" fillId="0" borderId="0" xfId="1" applyFont="1" applyAlignment="1"/>
    <xf numFmtId="0" fontId="1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1" fillId="0" borderId="0" xfId="1" applyAlignment="1">
      <alignment vertical="center"/>
    </xf>
    <xf numFmtId="0" fontId="1" fillId="0" borderId="0" xfId="1" applyAlignment="1">
      <alignment horizontal="center" vertical="center"/>
    </xf>
    <xf numFmtId="2" fontId="1" fillId="0" borderId="0" xfId="1" applyNumberFormat="1"/>
    <xf numFmtId="0" fontId="1" fillId="0" borderId="0" xfId="1"/>
    <xf numFmtId="0" fontId="5" fillId="2" borderId="1" xfId="1" applyFont="1" applyFill="1" applyBorder="1"/>
    <xf numFmtId="0" fontId="9" fillId="0" borderId="0" xfId="1" applyFont="1"/>
    <xf numFmtId="0" fontId="1" fillId="2" borderId="2" xfId="1" applyFill="1" applyBorder="1"/>
    <xf numFmtId="0" fontId="1" fillId="2" borderId="3" xfId="1" applyFill="1" applyBorder="1"/>
    <xf numFmtId="0" fontId="1" fillId="2" borderId="0" xfId="1" applyFill="1" applyBorder="1"/>
    <xf numFmtId="0" fontId="1" fillId="0" borderId="0" xfId="1" applyAlignment="1"/>
    <xf numFmtId="0" fontId="1" fillId="2" borderId="4" xfId="1" applyFill="1" applyBorder="1"/>
    <xf numFmtId="0" fontId="1" fillId="2" borderId="5" xfId="1" applyFill="1" applyBorder="1"/>
    <xf numFmtId="0" fontId="10" fillId="0" borderId="0" xfId="1" applyFont="1" applyAlignment="1">
      <alignment horizontal="center" vertical="center"/>
    </xf>
    <xf numFmtId="0" fontId="13" fillId="0" borderId="0" xfId="1" applyFont="1"/>
    <xf numFmtId="0" fontId="11" fillId="0" borderId="0" xfId="1" applyFont="1"/>
    <xf numFmtId="0" fontId="15" fillId="0" borderId="0" xfId="1" applyFont="1"/>
    <xf numFmtId="0" fontId="12" fillId="0" borderId="0" xfId="1" applyFont="1"/>
  </cellXfs>
  <cellStyles count="2">
    <cellStyle name="Erklärender Text" xfId="1" builtinId="53" customBuiltin="1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1"/>
  <sheetViews>
    <sheetView tabSelected="1" topLeftCell="A257" zoomScaleNormal="100" workbookViewId="0" xr3:uid="{AEA406A1-0E4B-5B11-9CD5-51D6E497D94C}">
      <selection activeCell="A272" sqref="A272:XFD292"/>
    </sheetView>
  </sheetViews>
  <sheetFormatPr defaultRowHeight="13.9"/>
  <cols>
    <col min="1" max="2" width="10.7109375" customWidth="1"/>
    <col min="3" max="3" width="11.42578125" style="1"/>
    <col min="4" max="8" width="10.7109375" customWidth="1"/>
    <col min="9" max="9" width="11.42578125" style="2"/>
    <col min="10" max="1024" width="10.7109375" customWidth="1"/>
  </cols>
  <sheetData>
    <row r="1" spans="1:16" ht="15">
      <c r="A1" s="3" t="s">
        <v>0</v>
      </c>
      <c r="B1" s="4" t="s">
        <v>1</v>
      </c>
      <c r="C1" s="5" t="s">
        <v>2</v>
      </c>
      <c r="D1" s="3" t="s">
        <v>3</v>
      </c>
      <c r="E1" s="3" t="s">
        <v>4</v>
      </c>
      <c r="F1" s="6" t="s">
        <v>5</v>
      </c>
      <c r="G1" s="6" t="s">
        <v>6</v>
      </c>
      <c r="H1" s="6" t="s">
        <v>7</v>
      </c>
      <c r="I1" s="6" t="s">
        <v>8</v>
      </c>
      <c r="O1" s="11"/>
      <c r="P1" s="11"/>
    </row>
    <row r="2" spans="1:16" ht="15">
      <c r="A2" s="12">
        <v>2006</v>
      </c>
      <c r="B2" s="13" t="s">
        <v>9</v>
      </c>
      <c r="C2" s="14">
        <v>1</v>
      </c>
      <c r="D2" s="15">
        <v>0</v>
      </c>
      <c r="E2" s="15">
        <v>16</v>
      </c>
      <c r="F2" s="15">
        <v>0.35</v>
      </c>
      <c r="G2" s="15">
        <v>0.25</v>
      </c>
      <c r="H2" s="15">
        <v>0.5</v>
      </c>
      <c r="I2" s="16">
        <f>(H2-G2)/(1.96^2)</f>
        <v>6.5077051228654731E-2</v>
      </c>
      <c r="O2" s="17"/>
      <c r="P2" s="17"/>
    </row>
    <row r="3" spans="1:16" ht="15">
      <c r="A3" s="12">
        <v>2004</v>
      </c>
      <c r="B3" s="13" t="s">
        <v>10</v>
      </c>
      <c r="C3" s="14">
        <v>2</v>
      </c>
      <c r="D3" s="15">
        <v>3</v>
      </c>
      <c r="E3" s="15">
        <v>6</v>
      </c>
      <c r="F3" s="15">
        <v>0.85</v>
      </c>
      <c r="G3" s="15">
        <v>0.65</v>
      </c>
      <c r="H3" s="15">
        <v>1.1100000000000001</v>
      </c>
      <c r="I3" s="16">
        <f>(H3-G3)/(1.96^2)</f>
        <v>0.11974177426072473</v>
      </c>
      <c r="O3" s="17"/>
      <c r="P3" s="17"/>
    </row>
    <row r="4" spans="1:16" ht="15">
      <c r="A4" s="12">
        <v>2008</v>
      </c>
      <c r="B4" s="13" t="s">
        <v>11</v>
      </c>
      <c r="C4" s="14">
        <v>3</v>
      </c>
      <c r="D4" s="15">
        <v>27</v>
      </c>
      <c r="E4" s="15">
        <v>0</v>
      </c>
      <c r="F4" s="15">
        <v>5.7</v>
      </c>
      <c r="G4" s="15">
        <v>1.67</v>
      </c>
      <c r="H4" s="15">
        <v>19.43</v>
      </c>
      <c r="I4" s="16">
        <f>(H4-G4)/(1.96^2)</f>
        <v>4.6230737192836315</v>
      </c>
      <c r="O4" s="17"/>
      <c r="P4" s="17"/>
    </row>
    <row r="5" spans="1:16" ht="15">
      <c r="A5" s="17"/>
      <c r="B5" s="13"/>
      <c r="C5" s="23">
        <v>3</v>
      </c>
      <c r="D5" s="15">
        <v>103</v>
      </c>
      <c r="E5" s="15">
        <v>101</v>
      </c>
      <c r="F5" s="15">
        <v>1.26</v>
      </c>
      <c r="G5" s="15">
        <v>0.33</v>
      </c>
      <c r="H5" s="15">
        <v>4.7300000000000004</v>
      </c>
      <c r="I5" s="16">
        <f>(H5-G5)/(1.96^2)</f>
        <v>1.1453561016243234</v>
      </c>
      <c r="O5" s="17"/>
      <c r="P5" s="17"/>
    </row>
    <row r="6" spans="1:16" ht="15">
      <c r="A6" s="12">
        <v>2007</v>
      </c>
      <c r="B6" s="13" t="s">
        <v>12</v>
      </c>
      <c r="C6" s="14">
        <v>4</v>
      </c>
      <c r="D6" s="15">
        <v>14</v>
      </c>
      <c r="E6" s="15">
        <v>1</v>
      </c>
      <c r="F6" s="15">
        <v>0.53</v>
      </c>
      <c r="G6" s="15">
        <v>0.39</v>
      </c>
      <c r="H6" s="15">
        <v>0.72</v>
      </c>
      <c r="I6" s="16">
        <f>(H6-G6)/(1.96^2)</f>
        <v>8.5901707621824239E-2</v>
      </c>
      <c r="O6" s="17"/>
      <c r="P6" s="17"/>
    </row>
    <row r="7" spans="1:16" ht="15">
      <c r="A7" s="12">
        <v>2008</v>
      </c>
      <c r="B7" s="13" t="s">
        <v>13</v>
      </c>
      <c r="C7" s="14">
        <v>5</v>
      </c>
      <c r="D7" s="15">
        <v>0</v>
      </c>
      <c r="E7" s="15">
        <v>23</v>
      </c>
      <c r="F7" s="15">
        <v>0.49</v>
      </c>
      <c r="G7" s="15">
        <v>0.27</v>
      </c>
      <c r="H7" s="15">
        <v>0.89</v>
      </c>
      <c r="I7" s="16">
        <f>(H7-G7)/(1.96^2)</f>
        <v>0.16139108704706373</v>
      </c>
      <c r="O7" s="17"/>
      <c r="P7" s="17"/>
    </row>
    <row r="8" spans="1:16" ht="15">
      <c r="A8" s="17"/>
      <c r="B8" s="13"/>
      <c r="C8" s="23">
        <v>5</v>
      </c>
      <c r="D8" s="15">
        <v>0</v>
      </c>
      <c r="E8" s="15">
        <v>10</v>
      </c>
      <c r="F8" s="15">
        <v>0.35</v>
      </c>
      <c r="G8" s="15">
        <v>0.19</v>
      </c>
      <c r="H8" s="15">
        <v>0.64</v>
      </c>
      <c r="I8" s="16">
        <f>(H8-G8)/(1.96^2)</f>
        <v>0.11713869221157852</v>
      </c>
      <c r="O8" s="17"/>
      <c r="P8" s="17"/>
    </row>
    <row r="9" spans="1:16" ht="15">
      <c r="A9" s="17"/>
      <c r="B9" s="13"/>
      <c r="C9" s="23">
        <v>5</v>
      </c>
      <c r="D9" s="15">
        <v>23</v>
      </c>
      <c r="E9" s="15">
        <v>10</v>
      </c>
      <c r="F9" s="15">
        <v>0.71</v>
      </c>
      <c r="G9" s="15">
        <v>0.39</v>
      </c>
      <c r="H9" s="15">
        <v>1.29</v>
      </c>
      <c r="I9" s="16">
        <f>(H9-G9)/(1.96^2)</f>
        <v>0.23427738442315704</v>
      </c>
      <c r="O9" s="17"/>
      <c r="P9" s="17"/>
    </row>
    <row r="10" spans="1:16" ht="15">
      <c r="A10" s="12">
        <v>2010</v>
      </c>
      <c r="B10" s="13" t="s">
        <v>14</v>
      </c>
      <c r="C10" s="14">
        <v>6</v>
      </c>
      <c r="D10" s="15">
        <v>101</v>
      </c>
      <c r="E10" s="15">
        <v>105</v>
      </c>
      <c r="F10" s="15">
        <v>1.23</v>
      </c>
      <c r="G10" s="15">
        <v>0.79</v>
      </c>
      <c r="H10" s="15">
        <v>1.9</v>
      </c>
      <c r="I10" s="16">
        <f>(H10-G10)/(1.96^2)</f>
        <v>0.28894210745522697</v>
      </c>
      <c r="O10" s="17"/>
      <c r="P10" s="17"/>
    </row>
    <row r="11" spans="1:16" ht="15">
      <c r="A11" s="12">
        <v>2007</v>
      </c>
      <c r="B11" s="13" t="s">
        <v>15</v>
      </c>
      <c r="C11" s="14">
        <v>7</v>
      </c>
      <c r="D11" s="15">
        <v>0</v>
      </c>
      <c r="E11" s="15">
        <v>32</v>
      </c>
      <c r="F11" s="15">
        <v>0.98</v>
      </c>
      <c r="G11" s="15">
        <v>0.14000000000000001</v>
      </c>
      <c r="H11" s="15">
        <v>7.06</v>
      </c>
      <c r="I11" s="16">
        <f>(H11-G11)/(1.96^2)</f>
        <v>1.801332778009163</v>
      </c>
      <c r="O11" s="17"/>
      <c r="P11" s="17"/>
    </row>
    <row r="12" spans="1:16" ht="15">
      <c r="A12" s="12">
        <v>2006</v>
      </c>
      <c r="B12" s="12" t="s">
        <v>16</v>
      </c>
      <c r="C12" s="14">
        <v>8</v>
      </c>
      <c r="D12" s="15">
        <v>106</v>
      </c>
      <c r="E12" s="15">
        <v>1</v>
      </c>
      <c r="F12" s="15">
        <v>1.37</v>
      </c>
      <c r="G12" s="15">
        <v>0.97</v>
      </c>
      <c r="H12" s="15">
        <v>1.95</v>
      </c>
      <c r="I12" s="16">
        <f>(H12-G12)/(1.96^2)</f>
        <v>0.25510204081632654</v>
      </c>
      <c r="O12" s="17"/>
      <c r="P12" s="17"/>
    </row>
    <row r="13" spans="1:16" ht="15">
      <c r="A13" s="12">
        <v>2008</v>
      </c>
      <c r="B13" s="12" t="s">
        <v>17</v>
      </c>
      <c r="C13" s="14">
        <v>9</v>
      </c>
      <c r="D13" s="15">
        <v>14</v>
      </c>
      <c r="E13" s="15">
        <v>0</v>
      </c>
      <c r="F13" s="15">
        <v>2.85</v>
      </c>
      <c r="G13" s="15">
        <v>1.28</v>
      </c>
      <c r="H13" s="15">
        <v>6.35</v>
      </c>
      <c r="I13" s="16">
        <f>(H13-G13)/(1.96^2)</f>
        <v>1.3197625989171178</v>
      </c>
      <c r="O13" s="17"/>
      <c r="P13" s="17"/>
    </row>
    <row r="14" spans="1:16" ht="15">
      <c r="A14" s="12">
        <v>2001</v>
      </c>
      <c r="B14" s="26" t="s">
        <v>18</v>
      </c>
      <c r="C14" s="14">
        <v>10</v>
      </c>
      <c r="D14" s="15">
        <v>10</v>
      </c>
      <c r="E14" s="15">
        <v>0</v>
      </c>
      <c r="F14" s="15">
        <v>7.88</v>
      </c>
      <c r="G14" s="15">
        <v>3.6</v>
      </c>
      <c r="H14" s="15">
        <v>17.260000000000002</v>
      </c>
      <c r="I14" s="16">
        <f>(H14-G14)/(1.96^2)</f>
        <v>3.5558100791336953</v>
      </c>
      <c r="O14" s="17"/>
      <c r="P14" s="17"/>
    </row>
    <row r="15" spans="1:16" ht="15">
      <c r="A15" s="12">
        <v>2009</v>
      </c>
      <c r="B15" s="12" t="s">
        <v>19</v>
      </c>
      <c r="C15" s="14">
        <v>11</v>
      </c>
      <c r="D15" s="15">
        <v>126</v>
      </c>
      <c r="E15" s="15">
        <v>119</v>
      </c>
      <c r="F15" s="15">
        <v>3.44</v>
      </c>
      <c r="G15" s="15">
        <v>0.59</v>
      </c>
      <c r="H15" s="15">
        <v>20.02</v>
      </c>
      <c r="I15" s="16">
        <f>(H15-G15)/(1.96^2)</f>
        <v>5.057788421491046</v>
      </c>
      <c r="O15" s="17"/>
      <c r="P15" s="17"/>
    </row>
    <row r="16" spans="1:16" ht="15">
      <c r="A16" s="12">
        <v>2010</v>
      </c>
      <c r="B16" s="12" t="s">
        <v>20</v>
      </c>
      <c r="C16" s="14">
        <v>12</v>
      </c>
      <c r="D16" s="15">
        <v>9</v>
      </c>
      <c r="E16" s="15">
        <v>0</v>
      </c>
      <c r="F16" s="15">
        <v>1.75</v>
      </c>
      <c r="G16" s="15">
        <v>0.89</v>
      </c>
      <c r="H16" s="15">
        <v>3.41</v>
      </c>
      <c r="I16" s="16">
        <f>(H16-G16)/(1.96^2)</f>
        <v>0.6559766763848397</v>
      </c>
      <c r="O16" s="17"/>
      <c r="P16" s="17"/>
    </row>
    <row r="17" spans="1:9" ht="15">
      <c r="A17" s="12">
        <v>2002</v>
      </c>
      <c r="B17" s="26" t="s">
        <v>21</v>
      </c>
      <c r="C17" s="14">
        <v>13</v>
      </c>
      <c r="D17" s="15">
        <v>1</v>
      </c>
      <c r="E17" s="15">
        <v>2</v>
      </c>
      <c r="F17" s="15">
        <v>0.84</v>
      </c>
      <c r="G17" s="15">
        <v>0.48</v>
      </c>
      <c r="H17" s="15">
        <v>1.46</v>
      </c>
      <c r="I17" s="16">
        <f>(H17-G17)/(1.96^2)</f>
        <v>0.25510204081632654</v>
      </c>
    </row>
    <row r="18" spans="1:9" ht="15">
      <c r="A18" s="17"/>
      <c r="B18" s="17"/>
      <c r="C18" s="23">
        <v>13</v>
      </c>
      <c r="D18" s="15">
        <v>1</v>
      </c>
      <c r="E18" s="15">
        <v>105</v>
      </c>
      <c r="F18" s="15">
        <v>0.19</v>
      </c>
      <c r="G18" s="15">
        <v>0.1</v>
      </c>
      <c r="H18" s="15">
        <v>0.34</v>
      </c>
      <c r="I18" s="16">
        <f>(H18-G18)/(1.96^2)</f>
        <v>6.2473969179508551E-2</v>
      </c>
    </row>
    <row r="19" spans="1:9" ht="15">
      <c r="A19" s="17"/>
      <c r="B19" s="17"/>
      <c r="C19" s="23">
        <v>13</v>
      </c>
      <c r="D19" s="15">
        <v>2</v>
      </c>
      <c r="E19" s="15">
        <v>105</v>
      </c>
      <c r="F19" s="15">
        <v>0.22</v>
      </c>
      <c r="G19" s="15">
        <v>0.12</v>
      </c>
      <c r="H19" s="15">
        <v>0.41</v>
      </c>
      <c r="I19" s="16">
        <f>(H19-G19)/(1.96^2)</f>
        <v>7.5489379425239478E-2</v>
      </c>
    </row>
    <row r="20" spans="1:9" ht="15">
      <c r="A20" s="12">
        <v>2002</v>
      </c>
      <c r="B20" s="26" t="s">
        <v>22</v>
      </c>
      <c r="C20" s="14">
        <v>14</v>
      </c>
      <c r="D20" s="15">
        <v>103</v>
      </c>
      <c r="E20" s="15">
        <v>1</v>
      </c>
      <c r="F20" s="15">
        <v>2.42</v>
      </c>
      <c r="G20" s="15">
        <v>1.53</v>
      </c>
      <c r="H20" s="15">
        <v>3.83</v>
      </c>
      <c r="I20" s="16">
        <f>(H20-G20)/(1.96^2)</f>
        <v>0.59870887130362349</v>
      </c>
    </row>
    <row r="21" spans="1:9" ht="15">
      <c r="A21" s="12">
        <v>2009</v>
      </c>
      <c r="B21" s="12" t="s">
        <v>23</v>
      </c>
      <c r="C21" s="14">
        <v>15</v>
      </c>
      <c r="D21" s="15">
        <v>108</v>
      </c>
      <c r="E21" s="15">
        <v>106</v>
      </c>
      <c r="F21" s="15">
        <v>2.56</v>
      </c>
      <c r="G21" s="15">
        <v>1.71</v>
      </c>
      <c r="H21" s="15">
        <v>3.83</v>
      </c>
      <c r="I21" s="16">
        <f>(H21-G21)/(1.96^2)</f>
        <v>0.55185339441899217</v>
      </c>
    </row>
    <row r="22" spans="1:9" ht="15">
      <c r="A22" s="17"/>
      <c r="B22" s="17"/>
      <c r="C22" s="23">
        <v>15</v>
      </c>
      <c r="D22" s="15">
        <v>108</v>
      </c>
      <c r="E22" s="15">
        <v>6</v>
      </c>
      <c r="F22" s="15">
        <v>8.41</v>
      </c>
      <c r="G22" s="15">
        <v>4.0599999999999996</v>
      </c>
      <c r="H22" s="15">
        <v>17.420000000000002</v>
      </c>
      <c r="I22" s="16">
        <f>(H22-G22)/(1.96^2)</f>
        <v>3.4777176176593096</v>
      </c>
    </row>
    <row r="23" spans="1:9" ht="15">
      <c r="A23" s="17"/>
      <c r="B23" s="17"/>
      <c r="C23" s="23">
        <v>15</v>
      </c>
      <c r="D23" s="15">
        <v>106</v>
      </c>
      <c r="E23" s="15">
        <v>6</v>
      </c>
      <c r="F23" s="15">
        <v>3.29</v>
      </c>
      <c r="G23" s="15">
        <v>1.56</v>
      </c>
      <c r="H23" s="15">
        <v>6.95</v>
      </c>
      <c r="I23" s="16">
        <f>(H23-G23)/(1.96^2)</f>
        <v>1.4030612244897962</v>
      </c>
    </row>
    <row r="24" spans="1:9" ht="15">
      <c r="A24" s="12">
        <v>2010</v>
      </c>
      <c r="B24" s="26" t="s">
        <v>24</v>
      </c>
      <c r="C24" s="14">
        <v>16</v>
      </c>
      <c r="D24" s="15">
        <v>101</v>
      </c>
      <c r="E24" s="15">
        <v>105</v>
      </c>
      <c r="F24" s="15">
        <v>1.38</v>
      </c>
      <c r="G24" s="15">
        <v>1.18</v>
      </c>
      <c r="H24" s="15">
        <v>1.6</v>
      </c>
      <c r="I24" s="16">
        <f>(H24-G24)/(1.96^2)</f>
        <v>0.10932944606414</v>
      </c>
    </row>
    <row r="25" spans="1:9" ht="15">
      <c r="A25" s="12">
        <v>2005</v>
      </c>
      <c r="B25" s="12" t="s">
        <v>25</v>
      </c>
      <c r="C25" s="14">
        <v>17</v>
      </c>
      <c r="D25" s="15">
        <v>111</v>
      </c>
      <c r="E25" s="15">
        <v>5</v>
      </c>
      <c r="F25" s="15">
        <v>3.07</v>
      </c>
      <c r="G25" s="15">
        <v>1.42</v>
      </c>
      <c r="H25" s="15">
        <v>6.63</v>
      </c>
      <c r="I25" s="16">
        <f>(H25-G25)/(1.96^2)</f>
        <v>1.3562057476051645</v>
      </c>
    </row>
    <row r="26" spans="1:9" ht="15">
      <c r="A26" s="12">
        <v>2004</v>
      </c>
      <c r="B26" s="26" t="s">
        <v>26</v>
      </c>
      <c r="C26" s="14">
        <v>18</v>
      </c>
      <c r="D26" s="15">
        <v>106</v>
      </c>
      <c r="E26" s="15">
        <v>10</v>
      </c>
      <c r="F26" s="15">
        <v>9.75</v>
      </c>
      <c r="G26" s="15">
        <v>1.8</v>
      </c>
      <c r="H26" s="15">
        <v>52.85</v>
      </c>
      <c r="I26" s="16">
        <f>(H26-G26)/(1.96^2)</f>
        <v>13.288733860891298</v>
      </c>
    </row>
    <row r="27" spans="1:9" ht="15">
      <c r="A27" s="12">
        <v>2009</v>
      </c>
      <c r="B27" s="12" t="s">
        <v>27</v>
      </c>
      <c r="C27" s="14">
        <v>19</v>
      </c>
      <c r="D27" s="15">
        <v>23</v>
      </c>
      <c r="E27" s="15">
        <v>0</v>
      </c>
      <c r="F27" s="15">
        <v>4.63</v>
      </c>
      <c r="G27" s="15">
        <v>2.25</v>
      </c>
      <c r="H27" s="15">
        <v>9.51</v>
      </c>
      <c r="I27" s="16">
        <f>(H27-G27)/(1.96^2)</f>
        <v>1.8898375676801333</v>
      </c>
    </row>
    <row r="28" spans="1:9" ht="15">
      <c r="A28" s="12">
        <v>2007</v>
      </c>
      <c r="B28" s="26" t="s">
        <v>28</v>
      </c>
      <c r="C28" s="14">
        <v>20</v>
      </c>
      <c r="D28" s="15">
        <v>105</v>
      </c>
      <c r="E28" s="15">
        <v>100</v>
      </c>
      <c r="F28" s="15">
        <v>2.64</v>
      </c>
      <c r="G28" s="15">
        <v>1.77</v>
      </c>
      <c r="H28" s="15">
        <v>3.94</v>
      </c>
      <c r="I28" s="16">
        <f>(H28-G28)/(1.96^2)</f>
        <v>0.56486880466472311</v>
      </c>
    </row>
    <row r="29" spans="1:9" ht="15">
      <c r="A29" s="12">
        <v>2009</v>
      </c>
      <c r="B29" s="12" t="s">
        <v>29</v>
      </c>
      <c r="C29" s="14">
        <v>21</v>
      </c>
      <c r="D29" s="15">
        <v>140</v>
      </c>
      <c r="E29" s="15">
        <v>0</v>
      </c>
      <c r="F29" s="15">
        <v>46.17</v>
      </c>
      <c r="G29" s="15">
        <v>18.079999999999998</v>
      </c>
      <c r="H29" s="15">
        <v>117.89</v>
      </c>
      <c r="I29" s="16">
        <f>(H29-G29)/(1.96^2)</f>
        <v>25.981361932528117</v>
      </c>
    </row>
    <row r="30" spans="1:9" ht="15">
      <c r="A30" s="12">
        <v>2011</v>
      </c>
      <c r="B30" s="26" t="s">
        <v>30</v>
      </c>
      <c r="C30" s="14">
        <v>22</v>
      </c>
      <c r="D30" s="15">
        <v>113</v>
      </c>
      <c r="E30" s="15">
        <v>11</v>
      </c>
      <c r="F30" s="15">
        <v>3.95</v>
      </c>
      <c r="G30" s="15">
        <v>2.71</v>
      </c>
      <c r="H30" s="15">
        <v>5.76</v>
      </c>
      <c r="I30" s="16">
        <f>(H30-G30)/(1.96^2)</f>
        <v>0.79394002498958771</v>
      </c>
    </row>
    <row r="31" spans="1:9" ht="15">
      <c r="A31" s="12">
        <v>2011</v>
      </c>
      <c r="B31" s="12" t="s">
        <v>31</v>
      </c>
      <c r="C31" s="14">
        <v>23</v>
      </c>
      <c r="D31" s="15">
        <v>112</v>
      </c>
      <c r="E31" s="15">
        <v>105</v>
      </c>
      <c r="F31" s="15">
        <v>1.03</v>
      </c>
      <c r="G31" s="15">
        <v>0.71</v>
      </c>
      <c r="H31" s="15">
        <v>1.49</v>
      </c>
      <c r="I31" s="16">
        <f>(H31-G31)/(1.96^2)</f>
        <v>0.20304039983340277</v>
      </c>
    </row>
    <row r="32" spans="1:9" ht="15">
      <c r="A32" s="12">
        <v>2002</v>
      </c>
      <c r="B32" s="26" t="s">
        <v>32</v>
      </c>
      <c r="C32" s="14">
        <v>24</v>
      </c>
      <c r="D32" s="15">
        <v>5</v>
      </c>
      <c r="E32" s="15">
        <v>113</v>
      </c>
      <c r="F32" s="15">
        <v>0.56999999999999995</v>
      </c>
      <c r="G32" s="15">
        <v>0.38</v>
      </c>
      <c r="H32" s="15">
        <v>0.86</v>
      </c>
      <c r="I32" s="16">
        <f>(H32-G32)/(1.96^2)</f>
        <v>0.12494793835901709</v>
      </c>
    </row>
    <row r="33" spans="1:9" ht="15">
      <c r="A33" s="17"/>
      <c r="B33" s="26"/>
      <c r="C33" s="14">
        <v>24</v>
      </c>
      <c r="D33" s="15">
        <v>5</v>
      </c>
      <c r="E33" s="15">
        <v>4</v>
      </c>
      <c r="F33" s="15">
        <v>0.62</v>
      </c>
      <c r="G33" s="15">
        <v>0.42</v>
      </c>
      <c r="H33" s="15">
        <v>0.93</v>
      </c>
      <c r="I33" s="16">
        <f>(H33-G33)/(1.96^2)</f>
        <v>0.13275718450645566</v>
      </c>
    </row>
    <row r="34" spans="1:9" ht="15">
      <c r="A34" s="17"/>
      <c r="B34" s="26"/>
      <c r="C34" s="14">
        <v>24</v>
      </c>
      <c r="D34" s="15">
        <v>5</v>
      </c>
      <c r="E34" s="15">
        <v>0</v>
      </c>
      <c r="F34" s="15">
        <v>2.19</v>
      </c>
      <c r="G34" s="15">
        <v>1.45</v>
      </c>
      <c r="H34" s="15">
        <v>3.3</v>
      </c>
      <c r="I34" s="16">
        <f>(H34-G34)/(1.96^2)</f>
        <v>0.48157017909204497</v>
      </c>
    </row>
    <row r="35" spans="1:9" ht="15">
      <c r="A35" s="17"/>
      <c r="B35" s="26"/>
      <c r="C35" s="14">
        <v>24</v>
      </c>
      <c r="D35" s="15">
        <v>70</v>
      </c>
      <c r="E35" s="15">
        <v>4</v>
      </c>
      <c r="F35" s="15">
        <v>1.0900000000000001</v>
      </c>
      <c r="G35" s="15">
        <v>0.71</v>
      </c>
      <c r="H35" s="15">
        <v>1.66</v>
      </c>
      <c r="I35" s="16">
        <f>(H35-G35)/(1.96^2)</f>
        <v>0.24729279466888798</v>
      </c>
    </row>
    <row r="36" spans="1:9" ht="15">
      <c r="A36" s="17"/>
      <c r="B36" s="26"/>
      <c r="C36" s="14">
        <v>24</v>
      </c>
      <c r="D36" s="15">
        <v>70</v>
      </c>
      <c r="E36" s="15">
        <v>0</v>
      </c>
      <c r="F36" s="15">
        <v>3.81</v>
      </c>
      <c r="G36" s="15">
        <v>2.46</v>
      </c>
      <c r="H36" s="15">
        <v>5.9</v>
      </c>
      <c r="I36" s="16">
        <f>(H36-G36)/(1.96^2)</f>
        <v>0.89546022490628918</v>
      </c>
    </row>
    <row r="37" spans="1:9" ht="15">
      <c r="A37" s="12">
        <v>1999</v>
      </c>
      <c r="B37" s="12" t="s">
        <v>33</v>
      </c>
      <c r="C37" s="14">
        <v>25</v>
      </c>
      <c r="D37" s="15">
        <v>4</v>
      </c>
      <c r="E37" s="15">
        <v>0</v>
      </c>
      <c r="F37" s="15">
        <v>3.51</v>
      </c>
      <c r="G37" s="15">
        <v>2.27</v>
      </c>
      <c r="H37" s="15">
        <v>5.43</v>
      </c>
      <c r="I37" s="16">
        <f>(H37-G37)/(1.96^2)</f>
        <v>0.82257392753019576</v>
      </c>
    </row>
    <row r="38" spans="1:9" ht="15">
      <c r="A38" s="12">
        <v>2009</v>
      </c>
      <c r="B38" s="26" t="s">
        <v>34</v>
      </c>
      <c r="C38" s="14">
        <v>26</v>
      </c>
      <c r="D38" s="15">
        <v>10</v>
      </c>
      <c r="E38" s="15">
        <v>0</v>
      </c>
      <c r="F38" s="15">
        <v>6.53</v>
      </c>
      <c r="G38" s="15">
        <v>4.09</v>
      </c>
      <c r="H38" s="15">
        <v>10.43</v>
      </c>
      <c r="I38" s="16">
        <f>(H38-G38)/(1.96^2)</f>
        <v>1.6503540191586841</v>
      </c>
    </row>
    <row r="39" spans="1:9" ht="15">
      <c r="A39" s="12">
        <v>2010</v>
      </c>
      <c r="B39" s="12" t="s">
        <v>35</v>
      </c>
      <c r="C39" s="14">
        <v>27</v>
      </c>
      <c r="D39" s="15">
        <v>115</v>
      </c>
      <c r="E39" s="15">
        <v>5</v>
      </c>
      <c r="F39" s="15">
        <v>3.14</v>
      </c>
      <c r="G39" s="15">
        <v>0.3</v>
      </c>
      <c r="H39" s="15">
        <v>32.659999999999997</v>
      </c>
      <c r="I39" s="16">
        <f>(H39-G39)/(1.96^2)</f>
        <v>8.423573511037068</v>
      </c>
    </row>
    <row r="40" spans="1:9" ht="15">
      <c r="A40" s="17"/>
      <c r="B40" s="26"/>
      <c r="C40" s="23">
        <v>27</v>
      </c>
      <c r="D40" s="15">
        <v>114</v>
      </c>
      <c r="E40" s="15">
        <v>5</v>
      </c>
      <c r="F40" s="15">
        <v>2.84</v>
      </c>
      <c r="G40" s="15">
        <v>1.56</v>
      </c>
      <c r="H40" s="15">
        <v>5.17</v>
      </c>
      <c r="I40" s="16">
        <f>(H40-G40)/(1.96^2)</f>
        <v>0.93971261974177434</v>
      </c>
    </row>
    <row r="41" spans="1:9" ht="15">
      <c r="A41" s="12">
        <v>2007</v>
      </c>
      <c r="B41" s="26" t="s">
        <v>36</v>
      </c>
      <c r="C41" s="14">
        <v>28</v>
      </c>
      <c r="D41" s="15">
        <v>17</v>
      </c>
      <c r="E41" s="15">
        <v>0</v>
      </c>
      <c r="F41" s="15">
        <v>17.27</v>
      </c>
      <c r="G41" s="15">
        <v>3.68</v>
      </c>
      <c r="H41" s="15">
        <v>81.02</v>
      </c>
      <c r="I41" s="16">
        <f>(H41-G41)/(1.96^2)</f>
        <v>20.132236568096626</v>
      </c>
    </row>
    <row r="42" spans="1:9" ht="15">
      <c r="A42" s="12">
        <v>2011</v>
      </c>
      <c r="B42" s="12" t="s">
        <v>37</v>
      </c>
      <c r="C42" s="14">
        <v>29</v>
      </c>
      <c r="D42" s="15">
        <v>116</v>
      </c>
      <c r="E42" s="15">
        <v>5</v>
      </c>
      <c r="F42" s="15">
        <v>2.74</v>
      </c>
      <c r="G42" s="15">
        <v>1.65</v>
      </c>
      <c r="H42" s="15">
        <v>4.54</v>
      </c>
      <c r="I42" s="16">
        <f>(H42-G42)/(1.96^2)</f>
        <v>0.75229071220324872</v>
      </c>
    </row>
    <row r="43" spans="1:9" ht="15">
      <c r="A43" s="12">
        <v>2002</v>
      </c>
      <c r="B43" s="26" t="s">
        <v>38</v>
      </c>
      <c r="C43" s="14">
        <v>30</v>
      </c>
      <c r="D43" s="15">
        <v>10</v>
      </c>
      <c r="E43" s="15">
        <v>7</v>
      </c>
      <c r="F43" s="15">
        <v>2.56</v>
      </c>
      <c r="G43" s="15">
        <v>1.24</v>
      </c>
      <c r="H43" s="15">
        <v>5.28</v>
      </c>
      <c r="I43" s="16">
        <f>(H43-G43)/(1.96^2)</f>
        <v>1.0516451478550606</v>
      </c>
    </row>
    <row r="44" spans="1:9" ht="15">
      <c r="A44" s="12">
        <v>2002</v>
      </c>
      <c r="B44" s="12" t="s">
        <v>39</v>
      </c>
      <c r="C44" s="14">
        <v>31</v>
      </c>
      <c r="D44" s="15">
        <v>27</v>
      </c>
      <c r="E44" s="15">
        <v>0</v>
      </c>
      <c r="F44" s="15">
        <v>2.16</v>
      </c>
      <c r="G44" s="15">
        <v>1.34</v>
      </c>
      <c r="H44" s="15">
        <v>3.5</v>
      </c>
      <c r="I44" s="16">
        <f>(H44-G44)/(1.96^2)</f>
        <v>0.56226572261557695</v>
      </c>
    </row>
    <row r="45" spans="1:9" ht="15">
      <c r="A45" s="12">
        <v>2005</v>
      </c>
      <c r="B45" s="26" t="s">
        <v>40</v>
      </c>
      <c r="C45" s="14">
        <v>32</v>
      </c>
      <c r="D45" s="15">
        <v>11</v>
      </c>
      <c r="E45" s="15">
        <v>3</v>
      </c>
      <c r="F45" s="15">
        <v>1.9</v>
      </c>
      <c r="G45" s="15">
        <v>1.33</v>
      </c>
      <c r="H45" s="15">
        <v>2.71</v>
      </c>
      <c r="I45" s="16">
        <f>(H45-G45)/(1.96^2)</f>
        <v>0.35922532278217412</v>
      </c>
    </row>
    <row r="46" spans="1:9" ht="15">
      <c r="A46" s="12">
        <v>2011</v>
      </c>
      <c r="B46" s="12" t="s">
        <v>41</v>
      </c>
      <c r="C46" s="14">
        <v>33</v>
      </c>
      <c r="D46" s="15">
        <v>47</v>
      </c>
      <c r="E46" s="15">
        <v>0</v>
      </c>
      <c r="F46" s="15">
        <v>4.09</v>
      </c>
      <c r="G46" s="15">
        <v>1.87</v>
      </c>
      <c r="H46" s="15">
        <v>8.94</v>
      </c>
      <c r="I46" s="16">
        <f>(H46-G46)/(1.96^2)</f>
        <v>1.8403790087463556</v>
      </c>
    </row>
    <row r="47" spans="1:9" ht="15">
      <c r="A47" s="12">
        <v>2010</v>
      </c>
      <c r="B47" s="26" t="s">
        <v>42</v>
      </c>
      <c r="C47" s="14">
        <v>34</v>
      </c>
      <c r="D47" s="15">
        <v>35</v>
      </c>
      <c r="E47" s="15">
        <v>11</v>
      </c>
      <c r="F47" s="15">
        <v>0.63</v>
      </c>
      <c r="G47" s="15">
        <v>0.39</v>
      </c>
      <c r="H47" s="15">
        <v>1.03</v>
      </c>
      <c r="I47" s="16">
        <f>(H47-G47)/(1.96^2)</f>
        <v>0.16659725114535612</v>
      </c>
    </row>
    <row r="48" spans="1:9" ht="15">
      <c r="A48" s="17"/>
      <c r="B48" s="26"/>
      <c r="C48" s="23">
        <v>34</v>
      </c>
      <c r="D48" s="15">
        <v>35</v>
      </c>
      <c r="E48" s="15">
        <v>113</v>
      </c>
      <c r="F48" s="15">
        <v>0.19</v>
      </c>
      <c r="G48" s="15">
        <v>0.12</v>
      </c>
      <c r="H48" s="15">
        <v>0.31</v>
      </c>
      <c r="I48" s="16">
        <f>(H48-G48)/(1.96^2)</f>
        <v>4.9458558933777597E-2</v>
      </c>
    </row>
    <row r="49" spans="1:9" ht="15">
      <c r="A49" s="17"/>
      <c r="B49" s="26"/>
      <c r="C49" s="23">
        <v>34</v>
      </c>
      <c r="D49" s="15">
        <v>11</v>
      </c>
      <c r="E49" s="15">
        <v>113</v>
      </c>
      <c r="F49" s="15">
        <v>0.3</v>
      </c>
      <c r="G49" s="15">
        <v>0.19</v>
      </c>
      <c r="H49" s="15">
        <v>0.47</v>
      </c>
      <c r="I49" s="16">
        <f>(H49-G49)/(1.96^2)</f>
        <v>7.2886297376093298E-2</v>
      </c>
    </row>
    <row r="50" spans="1:9" ht="15">
      <c r="A50" s="12">
        <v>2009</v>
      </c>
      <c r="B50" s="12" t="s">
        <v>43</v>
      </c>
      <c r="C50" s="14">
        <v>35</v>
      </c>
      <c r="D50" s="15">
        <v>117</v>
      </c>
      <c r="E50" s="15">
        <v>105</v>
      </c>
      <c r="F50" s="15">
        <v>6.02</v>
      </c>
      <c r="G50" s="15">
        <v>3.42</v>
      </c>
      <c r="H50" s="15">
        <v>10.61</v>
      </c>
      <c r="I50" s="16">
        <f>(H50-G50)/(1.96^2)</f>
        <v>1.8716159933361101</v>
      </c>
    </row>
    <row r="51" spans="1:9" ht="15">
      <c r="A51" s="17"/>
      <c r="B51" s="17"/>
      <c r="C51" s="23">
        <v>35</v>
      </c>
      <c r="D51" s="15">
        <v>117</v>
      </c>
      <c r="E51" s="15">
        <v>118</v>
      </c>
      <c r="F51" s="15">
        <v>1.34</v>
      </c>
      <c r="G51" s="15">
        <v>0.93</v>
      </c>
      <c r="H51" s="15">
        <v>1.94</v>
      </c>
      <c r="I51" s="16">
        <f>(H51-G51)/(1.96^2)</f>
        <v>0.26291128696376509</v>
      </c>
    </row>
    <row r="52" spans="1:9" ht="15">
      <c r="A52" s="17"/>
      <c r="B52" s="17"/>
      <c r="C52" s="23">
        <v>35</v>
      </c>
      <c r="D52" s="15">
        <v>105</v>
      </c>
      <c r="E52" s="15">
        <v>118</v>
      </c>
      <c r="F52" s="15">
        <v>0.22</v>
      </c>
      <c r="G52" s="15">
        <v>0.13</v>
      </c>
      <c r="H52" s="15">
        <v>0.39</v>
      </c>
      <c r="I52" s="16">
        <f>(H52-G52)/(1.96^2)</f>
        <v>6.7680133277800925E-2</v>
      </c>
    </row>
    <row r="53" spans="1:9" ht="15">
      <c r="A53" s="12">
        <v>2009</v>
      </c>
      <c r="B53" s="26" t="s">
        <v>44</v>
      </c>
      <c r="C53" s="14">
        <v>36</v>
      </c>
      <c r="D53" s="15">
        <v>9</v>
      </c>
      <c r="E53" s="15">
        <v>0</v>
      </c>
      <c r="F53" s="15">
        <v>2.1800000000000002</v>
      </c>
      <c r="G53" s="15">
        <v>0.81</v>
      </c>
      <c r="H53" s="15">
        <v>5.86</v>
      </c>
      <c r="I53" s="16">
        <f>(H53-G53)/(1.96^2)</f>
        <v>1.3145564348188259</v>
      </c>
    </row>
    <row r="54" spans="1:9" ht="15">
      <c r="A54" s="17"/>
      <c r="B54" s="26"/>
      <c r="C54" s="14">
        <v>36</v>
      </c>
      <c r="D54" s="15">
        <v>39</v>
      </c>
      <c r="E54" s="15">
        <v>0</v>
      </c>
      <c r="F54" s="15">
        <v>5.07</v>
      </c>
      <c r="G54" s="15">
        <v>1.92</v>
      </c>
      <c r="H54" s="15">
        <v>13.35</v>
      </c>
      <c r="I54" s="16">
        <f>(H54-G54)/(1.96^2)</f>
        <v>2.9753227821740942</v>
      </c>
    </row>
    <row r="55" spans="1:9" ht="15">
      <c r="A55" s="17"/>
      <c r="B55" s="26"/>
      <c r="C55" s="14">
        <v>36</v>
      </c>
      <c r="D55" s="15">
        <v>9</v>
      </c>
      <c r="E55" s="15">
        <v>39</v>
      </c>
      <c r="F55" s="15">
        <v>0.43</v>
      </c>
      <c r="G55" s="15">
        <v>0.16</v>
      </c>
      <c r="H55" s="15">
        <v>1.1399999999999999</v>
      </c>
      <c r="I55" s="16">
        <f>(H55-G55)/(1.96^2)</f>
        <v>0.25510204081632654</v>
      </c>
    </row>
    <row r="56" spans="1:9" ht="15">
      <c r="A56" s="12">
        <v>2008</v>
      </c>
      <c r="B56" s="26" t="s">
        <v>45</v>
      </c>
      <c r="C56" s="14">
        <v>37</v>
      </c>
      <c r="D56" s="15">
        <v>6</v>
      </c>
      <c r="E56" s="15">
        <v>106</v>
      </c>
      <c r="F56" s="15">
        <v>0.28000000000000003</v>
      </c>
      <c r="G56" s="15">
        <v>0.16</v>
      </c>
      <c r="H56" s="15">
        <v>0.49</v>
      </c>
      <c r="I56" s="16">
        <f>(H56-G56)/(1.96^2)</f>
        <v>8.5901707621824239E-2</v>
      </c>
    </row>
    <row r="57" spans="1:9" ht="15">
      <c r="A57" s="12">
        <v>2008</v>
      </c>
      <c r="B57" s="12" t="s">
        <v>46</v>
      </c>
      <c r="C57" s="14">
        <v>38</v>
      </c>
      <c r="D57" s="15">
        <v>13</v>
      </c>
      <c r="E57" s="15">
        <v>0</v>
      </c>
      <c r="F57" s="15">
        <v>4.42</v>
      </c>
      <c r="G57" s="15">
        <v>1.74</v>
      </c>
      <c r="H57" s="15">
        <v>11.21</v>
      </c>
      <c r="I57" s="16">
        <f>(H57-G57)/(1.96^2)</f>
        <v>2.4651187005414412</v>
      </c>
    </row>
    <row r="58" spans="1:9" ht="15">
      <c r="A58" s="12">
        <v>2008</v>
      </c>
      <c r="B58" s="26" t="s">
        <v>47</v>
      </c>
      <c r="C58" s="14">
        <v>39</v>
      </c>
      <c r="D58" s="15">
        <v>16</v>
      </c>
      <c r="E58" s="15">
        <v>0</v>
      </c>
      <c r="F58" s="15">
        <v>1.91</v>
      </c>
      <c r="G58" s="15">
        <v>1.1599999999999999</v>
      </c>
      <c r="H58" s="15">
        <v>3.13</v>
      </c>
      <c r="I58" s="16">
        <f>(H58-G58)/(1.96^2)</f>
        <v>0.51280716368179924</v>
      </c>
    </row>
    <row r="59" spans="1:9" ht="15">
      <c r="A59" s="12">
        <v>2007</v>
      </c>
      <c r="B59" s="12" t="s">
        <v>48</v>
      </c>
      <c r="C59" s="14">
        <v>40</v>
      </c>
      <c r="D59" s="15">
        <v>11</v>
      </c>
      <c r="E59" s="15">
        <v>113</v>
      </c>
      <c r="F59" s="15">
        <v>0.4</v>
      </c>
      <c r="G59" s="15">
        <v>0.25</v>
      </c>
      <c r="H59" s="15">
        <v>0.64</v>
      </c>
      <c r="I59" s="16">
        <f>(H59-G59)/(1.96^2)</f>
        <v>0.10152019991670139</v>
      </c>
    </row>
    <row r="60" spans="1:9" ht="15">
      <c r="A60" s="17"/>
      <c r="B60" s="17"/>
      <c r="C60" s="23">
        <v>40</v>
      </c>
      <c r="D60" s="15">
        <v>11</v>
      </c>
      <c r="E60" s="15">
        <v>14</v>
      </c>
      <c r="F60" s="15">
        <v>1</v>
      </c>
      <c r="G60" s="15">
        <v>0.64</v>
      </c>
      <c r="H60" s="15">
        <v>1.57</v>
      </c>
      <c r="I60" s="16">
        <f>(H60-G60)/(1.96^2)</f>
        <v>0.24208663057059562</v>
      </c>
    </row>
    <row r="61" spans="1:9" ht="15">
      <c r="A61" s="17"/>
      <c r="B61" s="17"/>
      <c r="C61" s="23">
        <v>40</v>
      </c>
      <c r="D61" s="15">
        <v>113</v>
      </c>
      <c r="E61" s="15">
        <v>14</v>
      </c>
      <c r="F61" s="15">
        <v>2.5</v>
      </c>
      <c r="G61" s="15">
        <v>1.57</v>
      </c>
      <c r="H61" s="15">
        <v>4</v>
      </c>
      <c r="I61" s="16">
        <f>(H61-G61)/(1.96^2)</f>
        <v>0.63254893794252398</v>
      </c>
    </row>
    <row r="62" spans="1:9" ht="15">
      <c r="A62" s="12">
        <v>2006</v>
      </c>
      <c r="B62" s="26" t="s">
        <v>49</v>
      </c>
      <c r="C62" s="14">
        <v>41</v>
      </c>
      <c r="D62" s="15">
        <v>4</v>
      </c>
      <c r="E62" s="15">
        <v>113</v>
      </c>
      <c r="F62" s="15">
        <v>0.27</v>
      </c>
      <c r="G62" s="15">
        <v>0.15</v>
      </c>
      <c r="H62" s="15">
        <v>0.49</v>
      </c>
      <c r="I62" s="16">
        <f>(H62-G62)/(1.96^2)</f>
        <v>8.8504789670970432E-2</v>
      </c>
    </row>
    <row r="63" spans="1:9" ht="15">
      <c r="A63" s="12">
        <v>2006</v>
      </c>
      <c r="B63" s="26" t="s">
        <v>50</v>
      </c>
      <c r="C63" s="14">
        <v>42</v>
      </c>
      <c r="D63" s="15">
        <v>118</v>
      </c>
      <c r="E63" s="15">
        <v>119</v>
      </c>
      <c r="F63" s="15">
        <v>0.96</v>
      </c>
      <c r="G63" s="15">
        <v>0.56000000000000005</v>
      </c>
      <c r="H63" s="15">
        <v>1.64</v>
      </c>
      <c r="I63" s="16">
        <f>(H63-G63)/(1.96^2)</f>
        <v>0.28113286130778842</v>
      </c>
    </row>
    <row r="64" spans="1:9" ht="15">
      <c r="A64" s="12">
        <v>2006</v>
      </c>
      <c r="B64" s="26" t="s">
        <v>51</v>
      </c>
      <c r="C64" s="14">
        <v>43</v>
      </c>
      <c r="D64" s="15">
        <v>10</v>
      </c>
      <c r="E64" s="15">
        <v>1</v>
      </c>
      <c r="F64" s="15">
        <v>1.03</v>
      </c>
      <c r="G64" s="15">
        <v>0.65</v>
      </c>
      <c r="H64" s="15">
        <v>1.62</v>
      </c>
      <c r="I64" s="16">
        <f>(H64-G64)/(1.96^2)</f>
        <v>0.25249895876718037</v>
      </c>
    </row>
    <row r="65" spans="1:9" ht="15">
      <c r="A65" s="17"/>
      <c r="B65" s="26"/>
      <c r="C65" s="23">
        <v>43</v>
      </c>
      <c r="D65" s="15">
        <v>10</v>
      </c>
      <c r="E65" s="15">
        <v>106</v>
      </c>
      <c r="F65" s="15">
        <v>0.41</v>
      </c>
      <c r="G65" s="15">
        <v>0.25</v>
      </c>
      <c r="H65" s="15">
        <v>0.68</v>
      </c>
      <c r="I65" s="16">
        <f>(H65-G65)/(1.96^2)</f>
        <v>0.11193252811328615</v>
      </c>
    </row>
    <row r="66" spans="1:9" ht="15">
      <c r="A66" s="17"/>
      <c r="B66" s="26"/>
      <c r="C66" s="23">
        <v>43</v>
      </c>
      <c r="D66" s="15">
        <v>1</v>
      </c>
      <c r="E66" s="15">
        <v>106</v>
      </c>
      <c r="F66" s="15">
        <v>0.4</v>
      </c>
      <c r="G66" s="15">
        <v>0.24</v>
      </c>
      <c r="H66" s="15">
        <v>0.66</v>
      </c>
      <c r="I66" s="16">
        <f>(H66-G66)/(1.96^2)</f>
        <v>0.10932944606413997</v>
      </c>
    </row>
    <row r="67" spans="1:9" ht="15">
      <c r="A67" s="12">
        <v>2006</v>
      </c>
      <c r="B67" s="26" t="s">
        <v>52</v>
      </c>
      <c r="C67" s="14">
        <v>44</v>
      </c>
      <c r="D67" s="15">
        <v>113</v>
      </c>
      <c r="E67" s="15">
        <v>11</v>
      </c>
      <c r="F67" s="15">
        <v>2.75</v>
      </c>
      <c r="G67" s="15">
        <v>1.74</v>
      </c>
      <c r="H67" s="15">
        <v>4.3499999999999996</v>
      </c>
      <c r="I67" s="16">
        <f>(H67-G67)/(1.96^2)</f>
        <v>0.6794044148271553</v>
      </c>
    </row>
    <row r="68" spans="1:9" ht="15">
      <c r="A68" s="12">
        <v>2004</v>
      </c>
      <c r="B68" s="26" t="s">
        <v>53</v>
      </c>
      <c r="C68" s="14">
        <v>45</v>
      </c>
      <c r="D68" s="15">
        <v>24</v>
      </c>
      <c r="E68" s="15">
        <v>27</v>
      </c>
      <c r="F68" s="15">
        <v>1.59</v>
      </c>
      <c r="G68" s="15">
        <v>0.81</v>
      </c>
      <c r="H68" s="15">
        <v>3.1</v>
      </c>
      <c r="I68" s="16">
        <f>(H68-G68)/(1.96^2)</f>
        <v>0.59610578925447733</v>
      </c>
    </row>
    <row r="69" spans="1:9" ht="15">
      <c r="A69" s="12">
        <v>2004</v>
      </c>
      <c r="B69" s="12" t="s">
        <v>54</v>
      </c>
      <c r="C69" s="14">
        <v>46</v>
      </c>
      <c r="D69" s="15">
        <v>106</v>
      </c>
      <c r="E69" s="15">
        <v>200</v>
      </c>
      <c r="F69" s="15">
        <v>4.6900000000000004</v>
      </c>
      <c r="G69" s="15">
        <v>2.38</v>
      </c>
      <c r="H69" s="15">
        <v>9.23</v>
      </c>
      <c r="I69" s="16">
        <f>(H69-G69)/(1.96^2)</f>
        <v>1.7831112036651398</v>
      </c>
    </row>
    <row r="70" spans="1:9" ht="15">
      <c r="A70" s="12">
        <v>2006</v>
      </c>
      <c r="B70" s="26" t="s">
        <v>55</v>
      </c>
      <c r="C70" s="14">
        <v>47</v>
      </c>
      <c r="D70" s="15">
        <v>103</v>
      </c>
      <c r="E70" s="15">
        <v>105</v>
      </c>
      <c r="F70" s="15">
        <v>0.61</v>
      </c>
      <c r="G70" s="15">
        <v>0.37</v>
      </c>
      <c r="H70" s="15">
        <v>1.02</v>
      </c>
      <c r="I70" s="16">
        <f>(H70-G70)/(1.96^2)</f>
        <v>0.16920033319450231</v>
      </c>
    </row>
    <row r="71" spans="1:9" ht="15">
      <c r="A71" s="12">
        <v>2005</v>
      </c>
      <c r="B71" s="12" t="s">
        <v>56</v>
      </c>
      <c r="C71" s="14">
        <v>48</v>
      </c>
      <c r="D71" s="15">
        <v>14</v>
      </c>
      <c r="E71" s="15">
        <v>0</v>
      </c>
      <c r="F71" s="15">
        <v>2.85</v>
      </c>
      <c r="G71" s="15">
        <v>1.18</v>
      </c>
      <c r="H71" s="15">
        <v>6.87</v>
      </c>
      <c r="I71" s="16">
        <f>(H71-G71)/(1.96^2)</f>
        <v>1.4811536859641818</v>
      </c>
    </row>
    <row r="72" spans="1:9" ht="15">
      <c r="A72" s="12">
        <v>2006</v>
      </c>
      <c r="B72" s="26" t="s">
        <v>57</v>
      </c>
      <c r="C72" s="14">
        <v>49</v>
      </c>
      <c r="D72" s="15">
        <v>23</v>
      </c>
      <c r="E72" s="15">
        <v>0</v>
      </c>
      <c r="F72" s="15">
        <v>3.03</v>
      </c>
      <c r="G72" s="15">
        <v>1.68</v>
      </c>
      <c r="H72" s="15">
        <v>5.46</v>
      </c>
      <c r="I72" s="16">
        <f>(H72-G72)/(1.96^2)</f>
        <v>0.9839650145772596</v>
      </c>
    </row>
    <row r="73" spans="1:9" ht="15">
      <c r="A73" s="12">
        <v>2010</v>
      </c>
      <c r="B73" s="12" t="s">
        <v>58</v>
      </c>
      <c r="C73" s="14">
        <v>50</v>
      </c>
      <c r="D73" s="15">
        <v>11</v>
      </c>
      <c r="E73" s="15">
        <v>0</v>
      </c>
      <c r="F73" s="15">
        <v>3.6</v>
      </c>
      <c r="G73" s="15">
        <v>1.32</v>
      </c>
      <c r="H73" s="15">
        <v>9.7899999999999991</v>
      </c>
      <c r="I73" s="16">
        <f>(H73-G73)/(1.96^2)</f>
        <v>2.204810495626822</v>
      </c>
    </row>
    <row r="74" spans="1:9" ht="15">
      <c r="A74" s="12">
        <v>2011</v>
      </c>
      <c r="B74" s="26" t="s">
        <v>59</v>
      </c>
      <c r="C74" s="14">
        <v>51</v>
      </c>
      <c r="D74" s="15">
        <v>101</v>
      </c>
      <c r="E74" s="15">
        <v>1</v>
      </c>
      <c r="F74" s="15">
        <v>1.86</v>
      </c>
      <c r="G74" s="15">
        <v>1.46</v>
      </c>
      <c r="H74" s="15">
        <v>2.37</v>
      </c>
      <c r="I74" s="16">
        <f>(H74-G74)/(1.96^2)</f>
        <v>0.23688046647230326</v>
      </c>
    </row>
    <row r="75" spans="1:9" ht="15">
      <c r="A75" s="12">
        <v>2010</v>
      </c>
      <c r="B75" s="12" t="s">
        <v>60</v>
      </c>
      <c r="C75" s="14">
        <v>52</v>
      </c>
      <c r="D75" s="15">
        <v>112</v>
      </c>
      <c r="E75" s="15">
        <v>1</v>
      </c>
      <c r="F75" s="15">
        <v>11.07</v>
      </c>
      <c r="G75" s="15">
        <v>3.42</v>
      </c>
      <c r="H75" s="15">
        <v>35.880000000000003</v>
      </c>
      <c r="I75" s="16">
        <f>(H75-G75)/(1.96^2)</f>
        <v>8.4496043315285299</v>
      </c>
    </row>
    <row r="76" spans="1:9" ht="15">
      <c r="A76" s="12">
        <v>2010</v>
      </c>
      <c r="B76" s="26" t="s">
        <v>61</v>
      </c>
      <c r="C76" s="14">
        <v>53</v>
      </c>
      <c r="D76" s="15">
        <v>112</v>
      </c>
      <c r="E76" s="15">
        <v>0</v>
      </c>
      <c r="F76" s="15">
        <v>7.34</v>
      </c>
      <c r="G76" s="15">
        <v>3.43</v>
      </c>
      <c r="H76" s="15">
        <v>15.7</v>
      </c>
      <c r="I76" s="16">
        <f>(H76-G76)/(1.96^2)</f>
        <v>3.1939816743023743</v>
      </c>
    </row>
    <row r="77" spans="1:9" ht="15">
      <c r="A77" s="12">
        <v>2009</v>
      </c>
      <c r="B77" s="12" t="s">
        <v>62</v>
      </c>
      <c r="C77" s="14">
        <v>54</v>
      </c>
      <c r="D77" s="15">
        <v>106</v>
      </c>
      <c r="E77" s="15">
        <v>5</v>
      </c>
      <c r="F77" s="15">
        <v>0.1</v>
      </c>
      <c r="G77" s="15">
        <v>0.05</v>
      </c>
      <c r="H77" s="15">
        <v>0.19</v>
      </c>
      <c r="I77" s="16">
        <f>(H77-G77)/(1.96^2)</f>
        <v>3.6443148688046656E-2</v>
      </c>
    </row>
    <row r="78" spans="1:9" ht="15">
      <c r="A78" s="12">
        <v>2009</v>
      </c>
      <c r="B78" s="26" t="s">
        <v>63</v>
      </c>
      <c r="C78" s="14">
        <v>55</v>
      </c>
      <c r="D78" s="15">
        <v>103</v>
      </c>
      <c r="E78" s="15">
        <v>120</v>
      </c>
      <c r="F78" s="15">
        <v>0.34</v>
      </c>
      <c r="G78" s="15">
        <v>0.22</v>
      </c>
      <c r="H78" s="15">
        <v>0.54</v>
      </c>
      <c r="I78" s="16">
        <f>(H78-G78)/(1.96^2)</f>
        <v>8.3298625572678073E-2</v>
      </c>
    </row>
    <row r="79" spans="1:9" ht="15">
      <c r="A79" s="12">
        <v>2004</v>
      </c>
      <c r="B79" s="12" t="s">
        <v>64</v>
      </c>
      <c r="C79" s="14">
        <v>56</v>
      </c>
      <c r="D79" s="15">
        <v>24</v>
      </c>
      <c r="E79" s="15">
        <v>120</v>
      </c>
      <c r="F79" s="15">
        <v>0.08</v>
      </c>
      <c r="G79" s="15">
        <v>0.02</v>
      </c>
      <c r="H79" s="15">
        <v>0.26</v>
      </c>
      <c r="I79" s="16">
        <f>(H79-G79)/(1.96^2)</f>
        <v>6.2473969179508551E-2</v>
      </c>
    </row>
    <row r="80" spans="1:9" ht="15">
      <c r="A80" s="17"/>
      <c r="B80" s="17"/>
      <c r="C80" s="14">
        <v>56</v>
      </c>
      <c r="D80" s="15">
        <v>10</v>
      </c>
      <c r="E80" s="15">
        <v>120</v>
      </c>
      <c r="F80" s="15">
        <v>0.3</v>
      </c>
      <c r="G80" s="15">
        <v>0.14000000000000001</v>
      </c>
      <c r="H80" s="15">
        <v>0.64</v>
      </c>
      <c r="I80" s="16">
        <f>(H80-G80)/(1.96^2)</f>
        <v>0.13015410245730946</v>
      </c>
    </row>
    <row r="81" spans="1:9" ht="15">
      <c r="A81" s="17"/>
      <c r="B81" s="17"/>
      <c r="C81" s="14">
        <v>56</v>
      </c>
      <c r="D81" s="15">
        <v>24</v>
      </c>
      <c r="E81" s="15">
        <v>10</v>
      </c>
      <c r="F81" s="15">
        <v>0.26</v>
      </c>
      <c r="G81" s="15">
        <v>7.0000000000000007E-2</v>
      </c>
      <c r="H81" s="15">
        <v>1</v>
      </c>
      <c r="I81" s="16">
        <f>(H81-G81)/(1.96^2)</f>
        <v>0.2420866305705956</v>
      </c>
    </row>
    <row r="82" spans="1:9" ht="15">
      <c r="A82" s="12">
        <v>2004</v>
      </c>
      <c r="B82" s="26" t="s">
        <v>65</v>
      </c>
      <c r="C82" s="14">
        <v>57</v>
      </c>
      <c r="D82" s="15">
        <v>6</v>
      </c>
      <c r="E82" s="15">
        <v>1</v>
      </c>
      <c r="F82" s="15">
        <v>0.91</v>
      </c>
      <c r="G82" s="15">
        <v>0.26</v>
      </c>
      <c r="H82" s="15">
        <v>3.2</v>
      </c>
      <c r="I82" s="16">
        <f>(H82-G82)/(1.96^2)</f>
        <v>0.76530612244897978</v>
      </c>
    </row>
    <row r="83" spans="1:9" ht="15">
      <c r="A83" s="17"/>
      <c r="B83" s="26"/>
      <c r="C83" s="14">
        <v>57</v>
      </c>
      <c r="D83" s="15">
        <v>11</v>
      </c>
      <c r="E83" s="15">
        <v>1</v>
      </c>
      <c r="F83" s="15">
        <v>6.06</v>
      </c>
      <c r="G83" s="15">
        <v>1.37</v>
      </c>
      <c r="H83" s="15">
        <v>26.76</v>
      </c>
      <c r="I83" s="16">
        <f>(H83-G83)/(1.96^2)</f>
        <v>6.6092253227821747</v>
      </c>
    </row>
    <row r="84" spans="1:9" ht="15">
      <c r="A84" s="17"/>
      <c r="B84" s="26"/>
      <c r="C84" s="14">
        <v>57</v>
      </c>
      <c r="D84" s="15">
        <v>6</v>
      </c>
      <c r="E84" s="15">
        <v>11</v>
      </c>
      <c r="F84" s="15">
        <v>0.15</v>
      </c>
      <c r="G84" s="15">
        <v>0.03</v>
      </c>
      <c r="H84" s="15">
        <v>0.69</v>
      </c>
      <c r="I84" s="16">
        <f>(H84-G84)/(1.96^2)</f>
        <v>0.17180341524364848</v>
      </c>
    </row>
    <row r="85" spans="1:9" ht="15">
      <c r="A85" s="12">
        <v>2011</v>
      </c>
      <c r="B85" s="12" t="s">
        <v>66</v>
      </c>
      <c r="C85" s="14">
        <v>58</v>
      </c>
      <c r="D85" s="15">
        <v>112</v>
      </c>
      <c r="E85" s="15">
        <v>101</v>
      </c>
      <c r="F85" s="15">
        <v>3.96</v>
      </c>
      <c r="G85" s="15">
        <v>2.63</v>
      </c>
      <c r="H85" s="15">
        <v>5.96</v>
      </c>
      <c r="I85" s="16">
        <f>(H85-G85)/(1.96^2)</f>
        <v>0.86682632236568102</v>
      </c>
    </row>
    <row r="86" spans="1:9" ht="15">
      <c r="A86" s="12">
        <v>2009</v>
      </c>
      <c r="B86" s="26" t="s">
        <v>67</v>
      </c>
      <c r="C86" s="14">
        <v>59</v>
      </c>
      <c r="D86" s="15">
        <v>121</v>
      </c>
      <c r="E86" s="15">
        <v>7</v>
      </c>
      <c r="F86" s="15">
        <v>2.41</v>
      </c>
      <c r="G86" s="15">
        <v>1.34</v>
      </c>
      <c r="H86" s="15">
        <v>4.34</v>
      </c>
      <c r="I86" s="16">
        <f>(H86-G86)/(1.96^2)</f>
        <v>0.78092461474385677</v>
      </c>
    </row>
    <row r="87" spans="1:9" ht="15">
      <c r="A87" s="12">
        <v>2007</v>
      </c>
      <c r="B87" s="12" t="s">
        <v>68</v>
      </c>
      <c r="C87" s="14">
        <v>60</v>
      </c>
      <c r="D87" s="15">
        <v>14</v>
      </c>
      <c r="E87" s="15">
        <v>0</v>
      </c>
      <c r="F87" s="15">
        <v>4.0999999999999996</v>
      </c>
      <c r="G87" s="15">
        <v>1.95</v>
      </c>
      <c r="H87" s="15">
        <v>8.6300000000000008</v>
      </c>
      <c r="I87" s="16">
        <f>(H87-G87)/(1.96^2)</f>
        <v>1.7388588088296546</v>
      </c>
    </row>
    <row r="88" spans="1:9" ht="15">
      <c r="A88" s="12">
        <v>2006</v>
      </c>
      <c r="B88" s="26" t="s">
        <v>69</v>
      </c>
      <c r="C88" s="14">
        <v>61</v>
      </c>
      <c r="D88" s="15">
        <v>11</v>
      </c>
      <c r="E88" s="15">
        <v>3</v>
      </c>
      <c r="F88" s="15">
        <v>1.06</v>
      </c>
      <c r="G88" s="15">
        <v>0.62</v>
      </c>
      <c r="H88" s="15">
        <v>1.81</v>
      </c>
      <c r="I88" s="16">
        <f>(H88-G88)/(1.96^2)</f>
        <v>0.30976676384839652</v>
      </c>
    </row>
    <row r="89" spans="1:9" ht="15">
      <c r="A89" s="12">
        <v>2003</v>
      </c>
      <c r="B89" s="12" t="s">
        <v>70</v>
      </c>
      <c r="C89" s="14">
        <v>62</v>
      </c>
      <c r="D89" s="15">
        <v>122</v>
      </c>
      <c r="E89" s="15">
        <v>1</v>
      </c>
      <c r="F89" s="15">
        <v>5.05</v>
      </c>
      <c r="G89" s="15">
        <v>1.74</v>
      </c>
      <c r="H89" s="15">
        <v>14.62</v>
      </c>
      <c r="I89" s="16">
        <f>(H89-G89)/(1.96^2)</f>
        <v>3.3527696793002915</v>
      </c>
    </row>
    <row r="90" spans="1:9" ht="15">
      <c r="A90" s="12">
        <v>2011</v>
      </c>
      <c r="B90" s="26" t="s">
        <v>71</v>
      </c>
      <c r="C90" s="14">
        <v>63</v>
      </c>
      <c r="D90" s="15">
        <v>101</v>
      </c>
      <c r="E90" s="15">
        <v>1</v>
      </c>
      <c r="F90" s="15">
        <v>1.97</v>
      </c>
      <c r="G90" s="15">
        <v>1.43</v>
      </c>
      <c r="H90" s="15">
        <v>2.72</v>
      </c>
      <c r="I90" s="16">
        <f>(H90-G90)/(1.96^2)</f>
        <v>0.33579758433985851</v>
      </c>
    </row>
    <row r="91" spans="1:9" ht="15">
      <c r="A91" s="17"/>
      <c r="B91" s="26"/>
      <c r="C91" s="14">
        <v>63</v>
      </c>
      <c r="D91" s="15">
        <v>13</v>
      </c>
      <c r="E91" s="15">
        <v>1</v>
      </c>
      <c r="F91" s="15">
        <v>0.63</v>
      </c>
      <c r="G91" s="15">
        <v>0.44</v>
      </c>
      <c r="H91" s="15">
        <v>0.88</v>
      </c>
      <c r="I91" s="16">
        <f>(H91-G91)/(1.96^2)</f>
        <v>0.11453561016243233</v>
      </c>
    </row>
    <row r="92" spans="1:9" ht="15">
      <c r="A92" s="17"/>
      <c r="B92" s="26"/>
      <c r="C92" s="14">
        <v>63</v>
      </c>
      <c r="D92" s="15">
        <v>101</v>
      </c>
      <c r="E92" s="15">
        <v>13</v>
      </c>
      <c r="F92" s="15">
        <v>3.14</v>
      </c>
      <c r="G92" s="15">
        <v>2.2400000000000002</v>
      </c>
      <c r="H92" s="15">
        <v>4.4000000000000004</v>
      </c>
      <c r="I92" s="16">
        <f>(H92-G92)/(1.96^2)</f>
        <v>0.56226572261557695</v>
      </c>
    </row>
    <row r="93" spans="1:9" ht="15">
      <c r="A93" s="12">
        <v>2008</v>
      </c>
      <c r="B93" s="12" t="s">
        <v>72</v>
      </c>
      <c r="C93" s="14">
        <v>64</v>
      </c>
      <c r="D93" s="15">
        <v>14</v>
      </c>
      <c r="E93" s="15">
        <v>8</v>
      </c>
      <c r="F93" s="15">
        <v>0.98</v>
      </c>
      <c r="G93" s="15">
        <v>0.7</v>
      </c>
      <c r="H93" s="15">
        <v>1.36</v>
      </c>
      <c r="I93" s="16">
        <f>(H93-G93)/(1.96^2)</f>
        <v>0.17180341524364853</v>
      </c>
    </row>
    <row r="94" spans="1:9" ht="15">
      <c r="A94" s="12">
        <v>2011</v>
      </c>
      <c r="B94" s="26" t="s">
        <v>73</v>
      </c>
      <c r="C94" s="14">
        <v>65</v>
      </c>
      <c r="D94" s="15">
        <v>117</v>
      </c>
      <c r="E94" s="15">
        <v>105</v>
      </c>
      <c r="F94" s="15">
        <v>4.7</v>
      </c>
      <c r="G94" s="15">
        <v>2.93</v>
      </c>
      <c r="H94" s="15">
        <v>7.53</v>
      </c>
      <c r="I94" s="16">
        <f>(H94-G94)/(1.96^2)</f>
        <v>1.197417742607247</v>
      </c>
    </row>
    <row r="95" spans="1:9" ht="15">
      <c r="A95" s="12">
        <v>2008</v>
      </c>
      <c r="B95" s="12" t="s">
        <v>74</v>
      </c>
      <c r="C95" s="14">
        <v>66</v>
      </c>
      <c r="D95" s="15">
        <v>23</v>
      </c>
      <c r="E95" s="15">
        <v>0</v>
      </c>
      <c r="F95" s="15">
        <v>8.26</v>
      </c>
      <c r="G95" s="15">
        <v>3.76</v>
      </c>
      <c r="H95" s="15">
        <v>18.149999999999999</v>
      </c>
      <c r="I95" s="16">
        <f>(H95-G95)/(1.96^2)</f>
        <v>3.745835068721366</v>
      </c>
    </row>
    <row r="96" spans="1:9" ht="15">
      <c r="A96" s="12">
        <v>2004</v>
      </c>
      <c r="B96" s="26" t="s">
        <v>75</v>
      </c>
      <c r="C96" s="14">
        <v>67</v>
      </c>
      <c r="D96" s="15">
        <v>106</v>
      </c>
      <c r="E96" s="15">
        <v>105</v>
      </c>
      <c r="F96" s="15">
        <v>0.46</v>
      </c>
      <c r="G96" s="15">
        <v>0.16</v>
      </c>
      <c r="H96" s="15">
        <v>1.36</v>
      </c>
      <c r="I96" s="16">
        <f>(H96-G96)/(1.96^2)</f>
        <v>0.31236984589754274</v>
      </c>
    </row>
    <row r="97" spans="1:9" ht="15">
      <c r="A97" s="12">
        <v>2007</v>
      </c>
      <c r="B97" s="12" t="s">
        <v>76</v>
      </c>
      <c r="C97" s="14">
        <v>68</v>
      </c>
      <c r="D97" s="15">
        <v>101</v>
      </c>
      <c r="E97" s="15">
        <v>105</v>
      </c>
      <c r="F97" s="15">
        <v>1.05</v>
      </c>
      <c r="G97" s="15">
        <v>0.83</v>
      </c>
      <c r="H97" s="15">
        <v>1.32</v>
      </c>
      <c r="I97" s="16">
        <f>(H97-G97)/(1.96^2)</f>
        <v>0.1275510204081633</v>
      </c>
    </row>
    <row r="98" spans="1:9" ht="15">
      <c r="A98" s="12">
        <v>2007</v>
      </c>
      <c r="B98" s="26" t="s">
        <v>77</v>
      </c>
      <c r="C98" s="14">
        <v>69</v>
      </c>
      <c r="D98" s="15">
        <v>117</v>
      </c>
      <c r="E98" s="15">
        <v>118</v>
      </c>
      <c r="F98" s="15">
        <v>1.47</v>
      </c>
      <c r="G98" s="15">
        <v>0.97</v>
      </c>
      <c r="H98" s="15">
        <v>2.21</v>
      </c>
      <c r="I98" s="16">
        <f>(H98-G98)/(1.96^2)</f>
        <v>0.32278217409412746</v>
      </c>
    </row>
    <row r="99" spans="1:9" ht="15">
      <c r="A99" s="12">
        <v>2009</v>
      </c>
      <c r="B99" s="12" t="s">
        <v>78</v>
      </c>
      <c r="C99" s="14">
        <v>70</v>
      </c>
      <c r="D99" s="15">
        <v>112</v>
      </c>
      <c r="E99" s="15">
        <v>0</v>
      </c>
      <c r="F99" s="15">
        <v>23.35</v>
      </c>
      <c r="G99" s="15">
        <v>8.1999999999999993</v>
      </c>
      <c r="H99" s="15">
        <v>66.459999999999994</v>
      </c>
      <c r="I99" s="16">
        <f>(H99-G99)/(1.96^2)</f>
        <v>15.165556018325697</v>
      </c>
    </row>
    <row r="100" spans="1:9" ht="15">
      <c r="A100" s="12">
        <v>2009</v>
      </c>
      <c r="B100" s="26" t="s">
        <v>79</v>
      </c>
      <c r="C100" s="14">
        <v>71</v>
      </c>
      <c r="D100" s="15">
        <v>101</v>
      </c>
      <c r="E100" s="15">
        <v>1</v>
      </c>
      <c r="F100" s="15">
        <v>4.78</v>
      </c>
      <c r="G100" s="15">
        <v>2.71</v>
      </c>
      <c r="H100" s="15">
        <v>8.41</v>
      </c>
      <c r="I100" s="16">
        <f>(H100-G100)/(1.96^2)</f>
        <v>1.4837567680133279</v>
      </c>
    </row>
    <row r="101" spans="1:9" ht="15">
      <c r="A101" s="12">
        <v>2008</v>
      </c>
      <c r="B101" s="12" t="s">
        <v>80</v>
      </c>
      <c r="C101" s="14">
        <v>72</v>
      </c>
      <c r="D101" s="15">
        <v>9</v>
      </c>
      <c r="E101" s="15">
        <v>0</v>
      </c>
      <c r="F101" s="15">
        <v>1.95</v>
      </c>
      <c r="G101" s="15">
        <v>1.02</v>
      </c>
      <c r="H101" s="15">
        <v>3.73</v>
      </c>
      <c r="I101" s="16">
        <f>(H101-G101)/(1.96^2)</f>
        <v>0.70543523531861729</v>
      </c>
    </row>
    <row r="102" spans="1:9" ht="15">
      <c r="A102" s="12">
        <v>2007</v>
      </c>
      <c r="B102" s="26" t="s">
        <v>81</v>
      </c>
      <c r="C102" s="14">
        <v>73</v>
      </c>
      <c r="D102" s="15">
        <v>124</v>
      </c>
      <c r="E102" s="15">
        <v>200</v>
      </c>
      <c r="F102" s="15">
        <v>8.67</v>
      </c>
      <c r="G102" s="15">
        <v>4.3</v>
      </c>
      <c r="H102" s="15">
        <v>17.5</v>
      </c>
      <c r="I102" s="16">
        <f>(H102-G102)/(1.96^2)</f>
        <v>3.4360683048729697</v>
      </c>
    </row>
    <row r="103" spans="1:9" ht="15">
      <c r="A103" s="12">
        <v>2009</v>
      </c>
      <c r="B103" s="12" t="s">
        <v>82</v>
      </c>
      <c r="C103" s="14">
        <v>74</v>
      </c>
      <c r="D103" s="15">
        <v>106</v>
      </c>
      <c r="E103" s="15">
        <v>11</v>
      </c>
      <c r="F103" s="15">
        <v>1.97</v>
      </c>
      <c r="G103" s="15">
        <v>1.31</v>
      </c>
      <c r="H103" s="15">
        <v>2.95</v>
      </c>
      <c r="I103" s="16">
        <f>(H103-G103)/(1.96^2)</f>
        <v>0.4269054560599751</v>
      </c>
    </row>
    <row r="104" spans="1:9" ht="15">
      <c r="A104" s="17"/>
      <c r="B104" s="17"/>
      <c r="C104" s="14">
        <v>74</v>
      </c>
      <c r="D104" s="15">
        <v>106</v>
      </c>
      <c r="E104" s="15">
        <v>1</v>
      </c>
      <c r="F104" s="15">
        <v>2.74</v>
      </c>
      <c r="G104" s="15">
        <v>1.84</v>
      </c>
      <c r="H104" s="15">
        <v>4.08</v>
      </c>
      <c r="I104" s="16">
        <f>(H104-G104)/(1.96^2)</f>
        <v>0.5830903790087465</v>
      </c>
    </row>
    <row r="105" spans="1:9" ht="15">
      <c r="A105" s="17"/>
      <c r="B105" s="17"/>
      <c r="C105" s="14">
        <v>74</v>
      </c>
      <c r="D105" s="15">
        <v>11</v>
      </c>
      <c r="E105" s="15">
        <v>1</v>
      </c>
      <c r="F105" s="15">
        <v>1.39</v>
      </c>
      <c r="G105" s="15">
        <v>0.93</v>
      </c>
      <c r="H105" s="15">
        <v>2.0699999999999998</v>
      </c>
      <c r="I105" s="16">
        <f>(H105-G105)/(1.96^2)</f>
        <v>0.29675135360266552</v>
      </c>
    </row>
    <row r="106" spans="1:9" ht="15">
      <c r="A106" s="12">
        <v>2009</v>
      </c>
      <c r="B106" s="26" t="s">
        <v>83</v>
      </c>
      <c r="C106" s="14">
        <v>75</v>
      </c>
      <c r="D106" s="15">
        <v>119</v>
      </c>
      <c r="E106" s="15">
        <v>105</v>
      </c>
      <c r="F106" s="15">
        <v>15.77</v>
      </c>
      <c r="G106" s="15">
        <v>2.0299999999999998</v>
      </c>
      <c r="H106" s="15">
        <v>122.41</v>
      </c>
      <c r="I106" s="16">
        <f>(H106-G106)/(1.96^2)</f>
        <v>31.335901707621826</v>
      </c>
    </row>
    <row r="107" spans="1:9" ht="15">
      <c r="A107" s="12">
        <v>2009</v>
      </c>
      <c r="B107" s="12" t="s">
        <v>27</v>
      </c>
      <c r="C107" s="14">
        <v>76</v>
      </c>
      <c r="D107" s="15">
        <v>23</v>
      </c>
      <c r="E107" s="15">
        <v>0</v>
      </c>
      <c r="F107" s="15">
        <v>4.63</v>
      </c>
      <c r="G107" s="15">
        <v>2.25</v>
      </c>
      <c r="H107" s="15">
        <v>9.51</v>
      </c>
      <c r="I107" s="16">
        <f>(H107-G107)/(1.96^2)</f>
        <v>1.8898375676801333</v>
      </c>
    </row>
    <row r="108" spans="1:9" ht="15">
      <c r="A108" s="12">
        <v>2011</v>
      </c>
      <c r="B108" s="26" t="s">
        <v>84</v>
      </c>
      <c r="C108" s="14">
        <v>77</v>
      </c>
      <c r="D108" s="15">
        <v>11</v>
      </c>
      <c r="E108" s="15">
        <v>1</v>
      </c>
      <c r="F108" s="15">
        <v>1.1599999999999999</v>
      </c>
      <c r="G108" s="15">
        <v>0.55000000000000004</v>
      </c>
      <c r="H108" s="15">
        <v>2.4500000000000002</v>
      </c>
      <c r="I108" s="16">
        <f>(H108-G108)/(1.96^2)</f>
        <v>0.49458558933777602</v>
      </c>
    </row>
    <row r="109" spans="1:9" ht="15">
      <c r="A109" s="12">
        <v>2009</v>
      </c>
      <c r="B109" s="12" t="s">
        <v>85</v>
      </c>
      <c r="C109" s="14">
        <v>78</v>
      </c>
      <c r="D109" s="15">
        <v>101</v>
      </c>
      <c r="E109" s="15">
        <v>105</v>
      </c>
      <c r="F109" s="15">
        <v>0.95</v>
      </c>
      <c r="G109" s="15">
        <v>0.8</v>
      </c>
      <c r="H109" s="15">
        <v>1.1200000000000001</v>
      </c>
      <c r="I109" s="16">
        <f>(H109-G109)/(1.96^2)</f>
        <v>8.3298625572678073E-2</v>
      </c>
    </row>
    <row r="110" spans="1:9" ht="15">
      <c r="A110" s="12">
        <v>2005</v>
      </c>
      <c r="B110" s="26" t="s">
        <v>86</v>
      </c>
      <c r="C110" s="14">
        <v>79</v>
      </c>
      <c r="D110" s="15">
        <v>105</v>
      </c>
      <c r="E110" s="15">
        <v>1</v>
      </c>
      <c r="F110" s="15">
        <v>5.72</v>
      </c>
      <c r="G110" s="15">
        <v>2.63</v>
      </c>
      <c r="H110" s="15">
        <v>12.47</v>
      </c>
      <c r="I110" s="16">
        <f>(H110-G110)/(1.96^2)</f>
        <v>2.5614327363598504</v>
      </c>
    </row>
    <row r="111" spans="1:9" ht="15">
      <c r="A111" s="12">
        <v>2010</v>
      </c>
      <c r="B111" s="12" t="s">
        <v>87</v>
      </c>
      <c r="C111" s="14">
        <v>80</v>
      </c>
      <c r="D111" s="15">
        <v>101</v>
      </c>
      <c r="E111" s="15">
        <v>105</v>
      </c>
      <c r="F111" s="15">
        <v>0.9</v>
      </c>
      <c r="G111" s="15">
        <v>0.67</v>
      </c>
      <c r="H111" s="15">
        <v>1.21</v>
      </c>
      <c r="I111" s="16">
        <f>(H111-G111)/(1.96^2)</f>
        <v>0.14056643065389421</v>
      </c>
    </row>
    <row r="112" spans="1:9" ht="15">
      <c r="A112" s="12">
        <v>2003</v>
      </c>
      <c r="B112" s="26" t="s">
        <v>88</v>
      </c>
      <c r="C112" s="14">
        <v>81</v>
      </c>
      <c r="D112" s="15">
        <v>120</v>
      </c>
      <c r="E112" s="15">
        <v>10</v>
      </c>
      <c r="F112" s="15">
        <v>6.18</v>
      </c>
      <c r="G112" s="15">
        <v>3.47</v>
      </c>
      <c r="H112" s="15">
        <v>10.99</v>
      </c>
      <c r="I112" s="16">
        <f>(H112-G112)/(1.96^2)</f>
        <v>1.9575177009579343</v>
      </c>
    </row>
    <row r="113" spans="1:9" ht="15">
      <c r="A113" s="12">
        <v>2010</v>
      </c>
      <c r="B113" s="12" t="s">
        <v>89</v>
      </c>
      <c r="C113" s="14">
        <v>82</v>
      </c>
      <c r="D113" s="15">
        <v>101</v>
      </c>
      <c r="E113" s="15">
        <v>1</v>
      </c>
      <c r="F113" s="15">
        <v>18.850000000000001</v>
      </c>
      <c r="G113" s="15">
        <v>2.4</v>
      </c>
      <c r="H113" s="15">
        <v>147.91</v>
      </c>
      <c r="I113" s="16">
        <f>(H113-G113)/(1.96^2)</f>
        <v>37.877446897126198</v>
      </c>
    </row>
    <row r="114" spans="1:9" ht="15">
      <c r="A114" s="12">
        <v>2002</v>
      </c>
      <c r="B114" s="12" t="s">
        <v>90</v>
      </c>
      <c r="C114" s="14">
        <v>83</v>
      </c>
      <c r="D114" s="15">
        <v>10</v>
      </c>
      <c r="E114" s="15">
        <v>125</v>
      </c>
      <c r="F114" s="15">
        <v>1.69</v>
      </c>
      <c r="G114" s="15">
        <v>0.9</v>
      </c>
      <c r="H114" s="15">
        <v>3.18</v>
      </c>
      <c r="I114" s="16">
        <f>(H114-G114)/(1.96^2)</f>
        <v>0.59350270720533127</v>
      </c>
    </row>
    <row r="115" spans="1:9" ht="15">
      <c r="A115" s="12">
        <v>2005</v>
      </c>
      <c r="B115" s="12" t="s">
        <v>91</v>
      </c>
      <c r="C115" s="14">
        <v>84</v>
      </c>
      <c r="D115" s="15">
        <v>1</v>
      </c>
      <c r="E115" s="15">
        <v>0</v>
      </c>
      <c r="F115" s="15">
        <v>5.1100000000000003</v>
      </c>
      <c r="G115" s="15">
        <v>2.48</v>
      </c>
      <c r="H115" s="15">
        <v>10.52</v>
      </c>
      <c r="I115" s="16">
        <f>(H115-G115)/(1.96^2)</f>
        <v>2.0928779675135361</v>
      </c>
    </row>
    <row r="116" spans="1:9" ht="15">
      <c r="A116" s="12">
        <v>2002</v>
      </c>
      <c r="B116" s="12" t="s">
        <v>92</v>
      </c>
      <c r="C116" s="14">
        <v>85</v>
      </c>
      <c r="D116" s="15">
        <v>0</v>
      </c>
      <c r="E116" s="15">
        <v>7</v>
      </c>
      <c r="F116" s="15">
        <v>0.17</v>
      </c>
      <c r="G116" s="15">
        <v>0.1</v>
      </c>
      <c r="H116" s="15">
        <v>0.27</v>
      </c>
      <c r="I116" s="16">
        <f>(H116-G116)/(1.96^2)</f>
        <v>4.4252394835485223E-2</v>
      </c>
    </row>
    <row r="117" spans="1:9" ht="15">
      <c r="A117" s="17"/>
      <c r="B117" s="17"/>
      <c r="C117" s="14">
        <v>85</v>
      </c>
      <c r="D117" s="15">
        <v>0</v>
      </c>
      <c r="E117" s="15">
        <v>1</v>
      </c>
      <c r="F117" s="15">
        <v>0.24</v>
      </c>
      <c r="G117" s="15">
        <v>0.15</v>
      </c>
      <c r="H117" s="15">
        <v>0.4</v>
      </c>
      <c r="I117" s="16">
        <f>(H117-G117)/(1.96^2)</f>
        <v>6.5077051228654731E-2</v>
      </c>
    </row>
    <row r="118" spans="1:9" ht="15">
      <c r="A118" s="17"/>
      <c r="B118" s="17"/>
      <c r="C118" s="14">
        <v>85</v>
      </c>
      <c r="D118" s="15">
        <v>0</v>
      </c>
      <c r="E118" s="15">
        <v>105</v>
      </c>
      <c r="F118" s="15">
        <v>0.1</v>
      </c>
      <c r="G118" s="15">
        <v>0.06</v>
      </c>
      <c r="H118" s="15">
        <v>0.16</v>
      </c>
      <c r="I118" s="16">
        <f>(H118-G118)/(1.96^2)</f>
        <v>2.6030820491461895E-2</v>
      </c>
    </row>
    <row r="119" spans="1:9" ht="15">
      <c r="A119" s="17"/>
      <c r="B119" s="17"/>
      <c r="C119" s="14">
        <v>85</v>
      </c>
      <c r="D119" s="15">
        <v>7</v>
      </c>
      <c r="E119" s="15">
        <v>1</v>
      </c>
      <c r="F119" s="15">
        <v>1.48</v>
      </c>
      <c r="G119" s="15">
        <v>0.95</v>
      </c>
      <c r="H119" s="15">
        <v>2.31</v>
      </c>
      <c r="I119" s="16">
        <f>(H119-G119)/(1.96^2)</f>
        <v>0.35401915868388178</v>
      </c>
    </row>
    <row r="120" spans="1:9" ht="15">
      <c r="A120" s="17"/>
      <c r="B120" s="17"/>
      <c r="C120" s="14">
        <v>85</v>
      </c>
      <c r="D120" s="15">
        <v>7</v>
      </c>
      <c r="E120" s="15">
        <v>105</v>
      </c>
      <c r="F120" s="15">
        <v>0.57999999999999996</v>
      </c>
      <c r="G120" s="15">
        <v>0.36</v>
      </c>
      <c r="H120" s="15">
        <v>0.92</v>
      </c>
      <c r="I120" s="16">
        <f>(H120-G120)/(1.96^2)</f>
        <v>0.14577259475218662</v>
      </c>
    </row>
    <row r="121" spans="1:9" ht="15">
      <c r="A121" s="17"/>
      <c r="B121" s="17"/>
      <c r="C121" s="14">
        <v>85</v>
      </c>
      <c r="D121" s="15">
        <v>1</v>
      </c>
      <c r="E121" s="15">
        <v>105</v>
      </c>
      <c r="F121" s="15">
        <v>0.39</v>
      </c>
      <c r="G121" s="15">
        <v>0.25</v>
      </c>
      <c r="H121" s="15">
        <v>0.62</v>
      </c>
      <c r="I121" s="16">
        <f>(H121-G121)/(1.96^2)</f>
        <v>9.6314035818409E-2</v>
      </c>
    </row>
    <row r="122" spans="1:9" ht="15">
      <c r="A122" s="12">
        <v>2009</v>
      </c>
      <c r="B122" s="12" t="s">
        <v>93</v>
      </c>
      <c r="C122" s="14">
        <v>86</v>
      </c>
      <c r="D122" s="15">
        <v>95</v>
      </c>
      <c r="E122" s="15">
        <v>0</v>
      </c>
      <c r="F122" s="15">
        <v>4.54</v>
      </c>
      <c r="G122" s="15">
        <v>2.96</v>
      </c>
      <c r="H122" s="15">
        <v>6.98</v>
      </c>
      <c r="I122" s="16">
        <f>(H122-G122)/(1.96^2)</f>
        <v>1.0464389837567682</v>
      </c>
    </row>
    <row r="123" spans="1:9" ht="15">
      <c r="A123" s="12">
        <v>2003</v>
      </c>
      <c r="B123" s="12" t="s">
        <v>94</v>
      </c>
      <c r="C123" s="14">
        <v>87</v>
      </c>
      <c r="D123" s="15">
        <v>106</v>
      </c>
      <c r="E123" s="15">
        <v>1</v>
      </c>
      <c r="F123" s="15">
        <v>2.2799999999999998</v>
      </c>
      <c r="G123" s="15">
        <v>1.4</v>
      </c>
      <c r="H123" s="15">
        <v>3.7</v>
      </c>
      <c r="I123" s="16">
        <f>(H123-G123)/(1.96^2)</f>
        <v>0.5987088713036236</v>
      </c>
    </row>
    <row r="124" spans="1:9" ht="15">
      <c r="A124" s="17"/>
      <c r="B124" s="17"/>
      <c r="C124" s="14">
        <v>87</v>
      </c>
      <c r="D124" s="15">
        <v>106</v>
      </c>
      <c r="E124" s="15">
        <v>7</v>
      </c>
      <c r="F124" s="15">
        <v>1.75</v>
      </c>
      <c r="G124" s="15">
        <v>1.06</v>
      </c>
      <c r="H124" s="15">
        <v>2.89</v>
      </c>
      <c r="I124" s="16">
        <f>(H124-G124)/(1.96^2)</f>
        <v>0.47636401499375264</v>
      </c>
    </row>
    <row r="125" spans="1:9" ht="15">
      <c r="A125" s="17"/>
      <c r="B125" s="17"/>
      <c r="C125" s="14">
        <v>87</v>
      </c>
      <c r="D125" s="15">
        <v>1</v>
      </c>
      <c r="E125" s="15">
        <v>7</v>
      </c>
      <c r="F125" s="15">
        <v>0.77</v>
      </c>
      <c r="G125" s="15">
        <v>0.48</v>
      </c>
      <c r="H125" s="15">
        <v>1.22</v>
      </c>
      <c r="I125" s="16">
        <f>(H125-G125)/(1.96^2)</f>
        <v>0.192628071636818</v>
      </c>
    </row>
    <row r="126" spans="1:9" ht="15">
      <c r="A126" s="12">
        <v>2006</v>
      </c>
      <c r="B126" s="12" t="s">
        <v>95</v>
      </c>
      <c r="C126" s="14">
        <v>88</v>
      </c>
      <c r="D126" s="15">
        <v>105</v>
      </c>
      <c r="E126" s="15">
        <v>106</v>
      </c>
      <c r="F126" s="15">
        <v>1.67</v>
      </c>
      <c r="G126" s="15">
        <v>1.06</v>
      </c>
      <c r="H126" s="15">
        <v>2.64</v>
      </c>
      <c r="I126" s="16">
        <f>(H126-G126)/(1.96^2)</f>
        <v>0.41128696376509793</v>
      </c>
    </row>
    <row r="127" spans="1:9" ht="15">
      <c r="A127" s="12">
        <v>2007</v>
      </c>
      <c r="B127" s="15" t="s">
        <v>96</v>
      </c>
      <c r="C127" s="14">
        <v>89</v>
      </c>
      <c r="D127" s="15">
        <v>113</v>
      </c>
      <c r="E127" s="15">
        <v>11</v>
      </c>
      <c r="F127" s="15">
        <v>3.42</v>
      </c>
      <c r="G127" s="15">
        <v>1.9</v>
      </c>
      <c r="H127" s="15">
        <v>6.18</v>
      </c>
      <c r="I127" s="16">
        <f>(H127-G127)/(1.96^2)</f>
        <v>1.1141191170345688</v>
      </c>
    </row>
    <row r="128" spans="1:9" ht="15">
      <c r="A128" s="12">
        <v>2008</v>
      </c>
      <c r="B128" s="15" t="s">
        <v>97</v>
      </c>
      <c r="C128" s="14">
        <v>90</v>
      </c>
      <c r="D128" s="15">
        <v>121</v>
      </c>
      <c r="E128" s="15">
        <v>6</v>
      </c>
      <c r="F128" s="15">
        <v>2.4900000000000002</v>
      </c>
      <c r="G128" s="15">
        <v>1.31</v>
      </c>
      <c r="H128" s="15">
        <v>4.7300000000000004</v>
      </c>
      <c r="I128" s="16">
        <f>(H128-G128)/(1.96^2)</f>
        <v>0.89025406080799685</v>
      </c>
    </row>
    <row r="129" spans="1:9" ht="15">
      <c r="A129" s="12">
        <v>2009</v>
      </c>
      <c r="B129" s="15" t="s">
        <v>98</v>
      </c>
      <c r="C129" s="14">
        <v>91</v>
      </c>
      <c r="D129" s="15">
        <v>17</v>
      </c>
      <c r="E129" s="15">
        <v>6</v>
      </c>
      <c r="F129" s="15">
        <v>2.7</v>
      </c>
      <c r="G129" s="15">
        <v>1.86</v>
      </c>
      <c r="H129" s="15">
        <v>3.92</v>
      </c>
      <c r="I129" s="16">
        <f>(H129-G129)/(1.96^2)</f>
        <v>0.53623490212411484</v>
      </c>
    </row>
    <row r="130" spans="1:9" ht="15">
      <c r="A130" s="12">
        <v>2010</v>
      </c>
      <c r="B130" s="12" t="s">
        <v>99</v>
      </c>
      <c r="C130" s="14">
        <v>92</v>
      </c>
      <c r="D130" s="15">
        <v>105</v>
      </c>
      <c r="E130" s="15">
        <v>5</v>
      </c>
      <c r="F130" s="15">
        <v>1.18</v>
      </c>
      <c r="G130" s="15">
        <v>0.78</v>
      </c>
      <c r="H130" s="15">
        <v>1.79</v>
      </c>
      <c r="I130" s="16">
        <f>(H130-G130)/(1.96^2)</f>
        <v>0.26291128696376515</v>
      </c>
    </row>
    <row r="131" spans="1:9" ht="15">
      <c r="A131" s="12">
        <v>2000</v>
      </c>
      <c r="B131" s="12" t="s">
        <v>100</v>
      </c>
      <c r="C131" s="14">
        <v>93</v>
      </c>
      <c r="D131" s="15">
        <v>106</v>
      </c>
      <c r="E131" s="15">
        <v>1</v>
      </c>
      <c r="F131" s="15">
        <v>4.8499999999999996</v>
      </c>
      <c r="G131" s="15">
        <v>1.98</v>
      </c>
      <c r="H131" s="15">
        <v>11.92</v>
      </c>
      <c r="I131" s="16">
        <f>(H131-G131)/(1.96^2)</f>
        <v>2.5874635568513122</v>
      </c>
    </row>
    <row r="132" spans="1:9" ht="15">
      <c r="A132" s="12">
        <v>2010</v>
      </c>
      <c r="B132" s="12" t="s">
        <v>101</v>
      </c>
      <c r="C132" s="14">
        <v>94</v>
      </c>
      <c r="D132" s="15">
        <v>18</v>
      </c>
      <c r="E132" s="15">
        <v>0</v>
      </c>
      <c r="F132" s="15">
        <v>2.25</v>
      </c>
      <c r="G132" s="15">
        <v>1.1499999999999999</v>
      </c>
      <c r="H132" s="15">
        <v>4.42</v>
      </c>
      <c r="I132" s="16">
        <f>(H132-G132)/(1.96^2)</f>
        <v>0.85120783007080392</v>
      </c>
    </row>
    <row r="133" spans="1:9" ht="15">
      <c r="A133" s="12">
        <v>2005</v>
      </c>
      <c r="B133" s="12" t="s">
        <v>102</v>
      </c>
      <c r="C133" s="14">
        <v>95</v>
      </c>
      <c r="D133" s="15">
        <v>103</v>
      </c>
      <c r="E133" s="15">
        <v>105</v>
      </c>
      <c r="F133" s="15">
        <v>0.81</v>
      </c>
      <c r="G133" s="15">
        <v>0.55000000000000004</v>
      </c>
      <c r="H133" s="15">
        <v>1.21</v>
      </c>
      <c r="I133" s="16">
        <f>(H133-G133)/(1.96^2)</f>
        <v>0.17180341524364848</v>
      </c>
    </row>
    <row r="134" spans="1:9" ht="15">
      <c r="A134" s="12">
        <v>2010</v>
      </c>
      <c r="B134" s="12" t="s">
        <v>103</v>
      </c>
      <c r="C134" s="14">
        <v>96</v>
      </c>
      <c r="D134" s="15">
        <v>101</v>
      </c>
      <c r="E134" s="15">
        <v>105</v>
      </c>
      <c r="F134" s="15">
        <v>1.08</v>
      </c>
      <c r="G134" s="15">
        <v>0.81</v>
      </c>
      <c r="H134" s="15">
        <v>1.43</v>
      </c>
      <c r="I134" s="16">
        <f>(H134-G134)/(1.96^2)</f>
        <v>0.1613910870470637</v>
      </c>
    </row>
    <row r="135" spans="1:9" ht="15">
      <c r="A135" s="12">
        <v>2006</v>
      </c>
      <c r="B135" s="12" t="s">
        <v>104</v>
      </c>
      <c r="C135" s="14">
        <v>97</v>
      </c>
      <c r="D135" s="15">
        <v>103</v>
      </c>
      <c r="E135" s="15">
        <v>5</v>
      </c>
      <c r="F135" s="15">
        <v>1.9</v>
      </c>
      <c r="G135" s="15">
        <v>1.06</v>
      </c>
      <c r="H135" s="15">
        <v>3.4</v>
      </c>
      <c r="I135" s="16">
        <f>(H135-G135)/(1.96^2)</f>
        <v>0.60912119950020827</v>
      </c>
    </row>
    <row r="136" spans="1:9" ht="15">
      <c r="A136" s="12">
        <v>2003</v>
      </c>
      <c r="B136" s="12" t="s">
        <v>105</v>
      </c>
      <c r="C136" s="14">
        <v>98</v>
      </c>
      <c r="D136" s="15">
        <v>4</v>
      </c>
      <c r="E136" s="15">
        <v>1</v>
      </c>
      <c r="F136" s="15">
        <v>0.89</v>
      </c>
      <c r="G136" s="15">
        <v>0.3</v>
      </c>
      <c r="H136" s="15">
        <v>2.67</v>
      </c>
      <c r="I136" s="16">
        <f>(H136-G136)/(1.96^2)</f>
        <v>0.61693044564764687</v>
      </c>
    </row>
    <row r="137" spans="1:9" ht="15">
      <c r="A137" s="17"/>
      <c r="B137" s="17"/>
      <c r="C137" s="14">
        <v>98</v>
      </c>
      <c r="D137" s="15">
        <v>4</v>
      </c>
      <c r="E137" s="15">
        <v>105</v>
      </c>
      <c r="F137" s="15">
        <v>0.17</v>
      </c>
      <c r="G137" s="15">
        <v>7.0000000000000007E-2</v>
      </c>
      <c r="H137" s="15">
        <v>0.42</v>
      </c>
      <c r="I137" s="16">
        <f>(H137-G137)/(1.96^2)</f>
        <v>9.1107871720116626E-2</v>
      </c>
    </row>
    <row r="138" spans="1:9" ht="15">
      <c r="A138" s="17"/>
      <c r="B138" s="17"/>
      <c r="C138" s="14">
        <v>98</v>
      </c>
      <c r="D138" s="15">
        <v>1</v>
      </c>
      <c r="E138" s="15">
        <v>105</v>
      </c>
      <c r="F138" s="15">
        <v>0.19</v>
      </c>
      <c r="G138" s="15">
        <v>0.08</v>
      </c>
      <c r="H138" s="15">
        <v>0.47</v>
      </c>
      <c r="I138" s="16">
        <f>(H138-G138)/(1.96^2)</f>
        <v>0.10152019991670137</v>
      </c>
    </row>
    <row r="139" spans="1:9" ht="15">
      <c r="A139" s="12">
        <v>2002</v>
      </c>
      <c r="B139" s="12" t="s">
        <v>106</v>
      </c>
      <c r="C139" s="14">
        <v>99</v>
      </c>
      <c r="D139" s="15">
        <v>12</v>
      </c>
      <c r="E139" s="15">
        <v>12</v>
      </c>
      <c r="F139" s="15">
        <v>1.02</v>
      </c>
      <c r="G139" s="15">
        <v>0.45</v>
      </c>
      <c r="H139" s="15">
        <v>2.33</v>
      </c>
      <c r="I139" s="16">
        <f>(H139-G139)/(1.96^2)</f>
        <v>0.48937942523948363</v>
      </c>
    </row>
    <row r="140" spans="1:9" ht="15">
      <c r="A140" s="12">
        <v>2011</v>
      </c>
      <c r="B140" s="12" t="s">
        <v>107</v>
      </c>
      <c r="C140" s="14">
        <v>100</v>
      </c>
      <c r="D140" s="15">
        <v>11</v>
      </c>
      <c r="E140" s="15">
        <v>11</v>
      </c>
      <c r="F140" s="15">
        <v>1.71</v>
      </c>
      <c r="G140" s="15">
        <v>1.0900000000000001</v>
      </c>
      <c r="H140" s="15">
        <v>2.69</v>
      </c>
      <c r="I140" s="16">
        <f>(H140-G140)/(1.96^2)</f>
        <v>0.41649312786339027</v>
      </c>
    </row>
    <row r="141" spans="1:9" ht="15">
      <c r="A141" s="12">
        <v>2009</v>
      </c>
      <c r="B141" s="12" t="s">
        <v>108</v>
      </c>
      <c r="C141" s="14">
        <v>101</v>
      </c>
      <c r="D141" s="15">
        <v>105</v>
      </c>
      <c r="E141" s="15">
        <v>12</v>
      </c>
      <c r="F141" s="15">
        <v>2.27</v>
      </c>
      <c r="G141" s="15">
        <v>1.1499999999999999</v>
      </c>
      <c r="H141" s="15">
        <v>4.4800000000000004</v>
      </c>
      <c r="I141" s="16">
        <f>(H141-G141)/(1.96^2)</f>
        <v>0.86682632236568113</v>
      </c>
    </row>
    <row r="142" spans="1:9" ht="15">
      <c r="A142" s="12">
        <v>2007</v>
      </c>
      <c r="B142" s="12" t="s">
        <v>109</v>
      </c>
      <c r="C142" s="14">
        <v>102</v>
      </c>
      <c r="D142" s="15">
        <v>10</v>
      </c>
      <c r="E142" s="15">
        <v>2</v>
      </c>
      <c r="F142" s="15">
        <v>0.76</v>
      </c>
      <c r="G142" s="15">
        <v>0.51</v>
      </c>
      <c r="H142" s="15">
        <v>1.1299999999999999</v>
      </c>
      <c r="I142" s="16">
        <f>(H142-G142)/(1.96^2)</f>
        <v>0.1613910870470637</v>
      </c>
    </row>
    <row r="143" spans="1:9" ht="15">
      <c r="A143" s="12">
        <v>2009</v>
      </c>
      <c r="B143" s="12" t="s">
        <v>110</v>
      </c>
      <c r="C143" s="14">
        <v>103</v>
      </c>
      <c r="D143" s="15">
        <v>101</v>
      </c>
      <c r="E143" s="15">
        <v>13</v>
      </c>
      <c r="F143" s="15">
        <v>3.19</v>
      </c>
      <c r="G143" s="15">
        <v>2.3199999999999998</v>
      </c>
      <c r="H143" s="15">
        <v>4.4000000000000004</v>
      </c>
      <c r="I143" s="16">
        <f>(H143-G143)/(1.96^2)</f>
        <v>0.54144106622240751</v>
      </c>
    </row>
    <row r="144" spans="1:9" ht="15">
      <c r="A144" s="17"/>
      <c r="B144" s="17"/>
      <c r="C144" s="14">
        <v>103</v>
      </c>
      <c r="D144" s="15">
        <v>101</v>
      </c>
      <c r="E144" s="15">
        <v>1</v>
      </c>
      <c r="F144" s="15">
        <v>2.17</v>
      </c>
      <c r="G144" s="15">
        <v>1.59</v>
      </c>
      <c r="H144" s="15">
        <v>2.97</v>
      </c>
      <c r="I144" s="16">
        <f>(H144-G144)/(1.96^2)</f>
        <v>0.35922532278217417</v>
      </c>
    </row>
    <row r="145" spans="1:9" ht="15">
      <c r="A145" s="17"/>
      <c r="B145" s="17"/>
      <c r="C145" s="14">
        <v>103</v>
      </c>
      <c r="D145" s="15">
        <v>13</v>
      </c>
      <c r="E145" s="15">
        <v>1</v>
      </c>
      <c r="F145" s="15">
        <v>0.68</v>
      </c>
      <c r="G145" s="15">
        <v>0.5</v>
      </c>
      <c r="H145" s="15">
        <v>0.93</v>
      </c>
      <c r="I145" s="16">
        <f>(H145-G145)/(1.96^2)</f>
        <v>0.11193252811328615</v>
      </c>
    </row>
    <row r="146" spans="1:9" ht="15">
      <c r="A146" s="12">
        <v>2010</v>
      </c>
      <c r="B146" s="12" t="s">
        <v>111</v>
      </c>
      <c r="C146" s="14">
        <v>104</v>
      </c>
      <c r="D146" s="15">
        <v>101</v>
      </c>
      <c r="E146" s="15">
        <v>6</v>
      </c>
      <c r="F146" s="15">
        <v>26.56</v>
      </c>
      <c r="G146" s="15">
        <v>7.89</v>
      </c>
      <c r="H146" s="15">
        <v>89.37</v>
      </c>
      <c r="I146" s="16">
        <f>(H146-G146)/(1.96^2)</f>
        <v>21.209912536443152</v>
      </c>
    </row>
    <row r="147" spans="1:9" ht="15">
      <c r="A147" s="12">
        <v>2010</v>
      </c>
      <c r="B147" s="12" t="s">
        <v>112</v>
      </c>
      <c r="C147" s="14">
        <v>105</v>
      </c>
      <c r="D147" s="15">
        <v>34</v>
      </c>
      <c r="E147" s="15">
        <v>0</v>
      </c>
      <c r="F147" s="15">
        <v>1.34</v>
      </c>
      <c r="G147" s="15">
        <v>0.85</v>
      </c>
      <c r="H147" s="15">
        <v>2.11</v>
      </c>
      <c r="I147" s="16">
        <f>(H147-G147)/(1.96^2)</f>
        <v>0.32798833819241979</v>
      </c>
    </row>
    <row r="148" spans="1:9" ht="15">
      <c r="A148" s="12">
        <v>2004</v>
      </c>
      <c r="B148" s="12" t="s">
        <v>113</v>
      </c>
      <c r="C148" s="14">
        <v>106</v>
      </c>
      <c r="D148" s="15">
        <v>2</v>
      </c>
      <c r="E148" s="15">
        <v>106</v>
      </c>
      <c r="F148" s="15">
        <v>0.26</v>
      </c>
      <c r="G148" s="15">
        <v>0.16</v>
      </c>
      <c r="H148" s="15">
        <v>0.41</v>
      </c>
      <c r="I148" s="16">
        <f>(H148-G148)/(1.96^2)</f>
        <v>6.5077051228654731E-2</v>
      </c>
    </row>
    <row r="149" spans="1:9" ht="15">
      <c r="A149" s="12">
        <v>2007</v>
      </c>
      <c r="B149" s="12" t="s">
        <v>114</v>
      </c>
      <c r="C149" s="14">
        <v>107</v>
      </c>
      <c r="D149" s="15">
        <v>121</v>
      </c>
      <c r="E149" s="15">
        <v>6</v>
      </c>
      <c r="F149" s="15">
        <v>4.07</v>
      </c>
      <c r="G149" s="15">
        <v>1.97</v>
      </c>
      <c r="H149" s="15">
        <v>8.42</v>
      </c>
      <c r="I149" s="16">
        <f>(H149-G149)/(1.96^2)</f>
        <v>1.6789879216992922</v>
      </c>
    </row>
    <row r="150" spans="1:9" ht="15">
      <c r="A150" s="12">
        <v>2009</v>
      </c>
      <c r="B150" s="12" t="s">
        <v>115</v>
      </c>
      <c r="C150" s="14">
        <v>108</v>
      </c>
      <c r="D150" s="15">
        <v>120</v>
      </c>
      <c r="E150" s="15">
        <v>11</v>
      </c>
      <c r="F150" s="15">
        <v>4.42</v>
      </c>
      <c r="G150" s="15">
        <v>2.56</v>
      </c>
      <c r="H150" s="15">
        <v>7.64</v>
      </c>
      <c r="I150" s="16">
        <f>(H150-G150)/(1.96^2)</f>
        <v>1.3223656809662643</v>
      </c>
    </row>
    <row r="151" spans="1:9" ht="15">
      <c r="A151" s="12">
        <v>2009</v>
      </c>
      <c r="B151" s="12" t="s">
        <v>116</v>
      </c>
      <c r="C151" s="14">
        <v>109</v>
      </c>
      <c r="D151" s="15">
        <v>118</v>
      </c>
      <c r="E151" s="15">
        <v>105</v>
      </c>
      <c r="F151" s="15">
        <v>8.41</v>
      </c>
      <c r="G151" s="15">
        <v>4.4400000000000004</v>
      </c>
      <c r="H151" s="15">
        <v>15.93</v>
      </c>
      <c r="I151" s="16">
        <f>(H151-G151)/(1.96^2)</f>
        <v>2.990941274468971</v>
      </c>
    </row>
    <row r="152" spans="1:9" ht="15">
      <c r="A152" s="12">
        <v>2010</v>
      </c>
      <c r="B152" s="12" t="s">
        <v>117</v>
      </c>
      <c r="C152" s="14">
        <v>110</v>
      </c>
      <c r="D152" s="15">
        <v>106</v>
      </c>
      <c r="E152" s="15">
        <v>1</v>
      </c>
      <c r="F152" s="15">
        <v>2.2400000000000002</v>
      </c>
      <c r="G152" s="15">
        <v>0.99</v>
      </c>
      <c r="H152" s="15">
        <v>5.0599999999999996</v>
      </c>
      <c r="I152" s="16">
        <f>(H152-G152)/(1.96^2)</f>
        <v>1.059454394002499</v>
      </c>
    </row>
    <row r="153" spans="1:9" ht="15">
      <c r="A153" s="12">
        <v>2010</v>
      </c>
      <c r="B153" s="12" t="s">
        <v>118</v>
      </c>
      <c r="C153" s="14">
        <v>111</v>
      </c>
      <c r="D153" s="15">
        <v>108</v>
      </c>
      <c r="E153" s="15">
        <v>100</v>
      </c>
      <c r="F153" s="15">
        <v>14.54</v>
      </c>
      <c r="G153" s="15">
        <v>6.87</v>
      </c>
      <c r="H153" s="15">
        <v>30.75</v>
      </c>
      <c r="I153" s="16">
        <f>(H153-G153)/(1.96^2)</f>
        <v>6.2161599333610997</v>
      </c>
    </row>
    <row r="154" spans="1:9" ht="15">
      <c r="A154" s="12">
        <v>2011</v>
      </c>
      <c r="B154" s="12" t="s">
        <v>119</v>
      </c>
      <c r="C154" s="14">
        <v>112</v>
      </c>
      <c r="D154" s="15">
        <v>11</v>
      </c>
      <c r="E154" s="15">
        <v>113</v>
      </c>
      <c r="F154" s="15">
        <v>0.25</v>
      </c>
      <c r="G154" s="15">
        <v>0.14000000000000001</v>
      </c>
      <c r="H154" s="15">
        <v>0.46</v>
      </c>
      <c r="I154" s="16">
        <f>(H154-G154)/(1.96^2)</f>
        <v>8.3298625572678059E-2</v>
      </c>
    </row>
    <row r="155" spans="1:9" ht="15">
      <c r="A155" s="12">
        <v>2007</v>
      </c>
      <c r="B155" s="12" t="s">
        <v>120</v>
      </c>
      <c r="C155" s="14">
        <v>113</v>
      </c>
      <c r="D155" s="15">
        <v>105</v>
      </c>
      <c r="E155" s="15">
        <v>119</v>
      </c>
      <c r="F155" s="15">
        <v>7.0000000000000007E-2</v>
      </c>
      <c r="G155" s="15">
        <v>0.02</v>
      </c>
      <c r="H155" s="15">
        <v>0.3</v>
      </c>
      <c r="I155" s="16">
        <f>(H155-G155)/(1.96^2)</f>
        <v>7.2886297376093298E-2</v>
      </c>
    </row>
    <row r="156" spans="1:9" ht="15">
      <c r="A156" s="12">
        <v>2000</v>
      </c>
      <c r="B156" s="12" t="s">
        <v>121</v>
      </c>
      <c r="C156" s="14">
        <v>114</v>
      </c>
      <c r="D156" s="15">
        <v>105</v>
      </c>
      <c r="E156" s="15">
        <v>1</v>
      </c>
      <c r="F156" s="15">
        <v>3.55</v>
      </c>
      <c r="G156" s="15">
        <v>1.58</v>
      </c>
      <c r="H156" s="15">
        <v>7.97</v>
      </c>
      <c r="I156" s="16">
        <f>(H156-G156)/(1.96^2)</f>
        <v>1.6633694294044148</v>
      </c>
    </row>
    <row r="157" spans="1:9" ht="15">
      <c r="A157" s="12">
        <v>2002</v>
      </c>
      <c r="B157" s="12" t="s">
        <v>122</v>
      </c>
      <c r="C157" s="14">
        <v>115</v>
      </c>
      <c r="D157" s="15">
        <v>29</v>
      </c>
      <c r="E157" s="15">
        <v>0</v>
      </c>
      <c r="F157" s="15">
        <v>1.78</v>
      </c>
      <c r="G157" s="15">
        <v>1.17</v>
      </c>
      <c r="H157" s="15">
        <v>2.71</v>
      </c>
      <c r="I157" s="16">
        <f>(H157-G157)/(1.96^2)</f>
        <v>0.40087463556851316</v>
      </c>
    </row>
    <row r="158" spans="1:9" ht="15">
      <c r="A158" s="12">
        <v>2004</v>
      </c>
      <c r="B158" s="12" t="s">
        <v>123</v>
      </c>
      <c r="C158" s="14">
        <v>116</v>
      </c>
      <c r="D158" s="15">
        <v>106</v>
      </c>
      <c r="E158" s="15">
        <v>105</v>
      </c>
      <c r="F158" s="15">
        <v>0.96</v>
      </c>
      <c r="G158" s="15">
        <v>0.7</v>
      </c>
      <c r="H158" s="15">
        <v>1.33</v>
      </c>
      <c r="I158" s="16">
        <f>(H158-G158)/(1.96^2)</f>
        <v>0.16399416909620995</v>
      </c>
    </row>
    <row r="159" spans="1:9" ht="15">
      <c r="A159" s="12">
        <v>2001</v>
      </c>
      <c r="B159" s="12" t="s">
        <v>124</v>
      </c>
      <c r="C159" s="14">
        <v>117</v>
      </c>
      <c r="D159" s="15">
        <v>126</v>
      </c>
      <c r="E159" s="15">
        <v>5</v>
      </c>
      <c r="F159" s="15">
        <v>3.77</v>
      </c>
      <c r="G159" s="15">
        <v>0.14000000000000001</v>
      </c>
      <c r="H159" s="15">
        <v>99.25</v>
      </c>
      <c r="I159" s="16">
        <f>(H159-G159)/(1.96^2)</f>
        <v>25.799146189087882</v>
      </c>
    </row>
    <row r="160" spans="1:9" ht="15">
      <c r="A160" s="12">
        <v>2003</v>
      </c>
      <c r="B160" s="12" t="s">
        <v>125</v>
      </c>
      <c r="C160" s="14">
        <v>118</v>
      </c>
      <c r="D160" s="15">
        <v>136</v>
      </c>
      <c r="E160" s="15">
        <v>0</v>
      </c>
      <c r="F160" s="15">
        <v>3.01</v>
      </c>
      <c r="G160" s="15">
        <v>1.24</v>
      </c>
      <c r="H160" s="15">
        <v>7.34</v>
      </c>
      <c r="I160" s="16">
        <f>(H160-G160)/(1.96^2)</f>
        <v>1.5878800499791754</v>
      </c>
    </row>
    <row r="161" spans="1:9" ht="15">
      <c r="A161" s="12">
        <v>2009</v>
      </c>
      <c r="B161" s="12" t="s">
        <v>126</v>
      </c>
      <c r="C161" s="14">
        <v>119</v>
      </c>
      <c r="D161" s="15">
        <v>0</v>
      </c>
      <c r="E161" s="15">
        <v>9</v>
      </c>
      <c r="F161" s="15">
        <v>0.01</v>
      </c>
      <c r="G161" s="15">
        <v>0</v>
      </c>
      <c r="H161" s="15">
        <v>7.0000000000000007E-2</v>
      </c>
      <c r="I161" s="16">
        <f>(H161-G161)/(1.96^2)</f>
        <v>1.8221574344023328E-2</v>
      </c>
    </row>
    <row r="162" spans="1:9" ht="15">
      <c r="A162" s="12">
        <v>2010</v>
      </c>
      <c r="B162" s="12" t="s">
        <v>127</v>
      </c>
      <c r="C162" s="14">
        <v>120</v>
      </c>
      <c r="D162" s="15">
        <v>14</v>
      </c>
      <c r="E162" s="15">
        <v>20</v>
      </c>
      <c r="F162" s="15">
        <v>3.31</v>
      </c>
      <c r="G162" s="15">
        <v>2.14</v>
      </c>
      <c r="H162" s="15">
        <v>5.13</v>
      </c>
      <c r="I162" s="16">
        <f>(H162-G162)/(1.96^2)</f>
        <v>0.77832153269471049</v>
      </c>
    </row>
    <row r="163" spans="1:9" ht="15">
      <c r="A163" s="12">
        <v>2010</v>
      </c>
      <c r="B163" s="12" t="s">
        <v>128</v>
      </c>
      <c r="C163" s="14">
        <v>121</v>
      </c>
      <c r="D163" s="15">
        <v>23</v>
      </c>
      <c r="E163" s="15">
        <v>20</v>
      </c>
      <c r="F163" s="15">
        <v>2.12</v>
      </c>
      <c r="G163" s="15">
        <v>1.33</v>
      </c>
      <c r="H163" s="15">
        <v>3.36</v>
      </c>
      <c r="I163" s="16">
        <f>(H163-G163)/(1.96^2)</f>
        <v>0.52842565597667635</v>
      </c>
    </row>
    <row r="164" spans="1:9" ht="15">
      <c r="A164" s="12">
        <v>2007</v>
      </c>
      <c r="B164" s="12" t="s">
        <v>129</v>
      </c>
      <c r="C164" s="14">
        <v>122</v>
      </c>
      <c r="D164" s="15">
        <v>101</v>
      </c>
      <c r="E164" s="15">
        <v>0</v>
      </c>
      <c r="F164" s="15">
        <v>19.670000000000002</v>
      </c>
      <c r="G164" s="15">
        <v>10.63</v>
      </c>
      <c r="H164" s="15">
        <v>36.380000000000003</v>
      </c>
      <c r="I164" s="16">
        <f>(H164-G164)/(1.96^2)</f>
        <v>6.7029362765514371</v>
      </c>
    </row>
    <row r="165" spans="1:9" ht="15">
      <c r="A165" s="17"/>
      <c r="B165" s="17"/>
      <c r="C165" s="14">
        <v>122</v>
      </c>
      <c r="D165" s="15">
        <v>1</v>
      </c>
      <c r="E165" s="15">
        <v>0</v>
      </c>
      <c r="F165" s="15">
        <v>6.24</v>
      </c>
      <c r="G165" s="15">
        <v>3.39</v>
      </c>
      <c r="H165" s="15">
        <v>11.49</v>
      </c>
      <c r="I165" s="16">
        <f>(H165-G165)/(1.96^2)</f>
        <v>2.1084964598084133</v>
      </c>
    </row>
    <row r="166" spans="1:9" ht="15">
      <c r="A166" s="17"/>
      <c r="B166" s="17"/>
      <c r="C166" s="14">
        <v>122</v>
      </c>
      <c r="D166" s="15">
        <v>23</v>
      </c>
      <c r="E166" s="15">
        <v>0</v>
      </c>
      <c r="F166" s="15">
        <v>2.5</v>
      </c>
      <c r="G166" s="15">
        <v>1.31</v>
      </c>
      <c r="H166" s="15">
        <v>4.78</v>
      </c>
      <c r="I166" s="16">
        <f>(H166-G166)/(1.96^2)</f>
        <v>0.90326947105372779</v>
      </c>
    </row>
    <row r="167" spans="1:9" ht="15">
      <c r="A167" s="17"/>
      <c r="B167" s="17"/>
      <c r="C167" s="14">
        <v>122</v>
      </c>
      <c r="D167" s="15">
        <v>101</v>
      </c>
      <c r="E167" s="15">
        <v>1</v>
      </c>
      <c r="F167" s="15">
        <v>6.57</v>
      </c>
      <c r="G167" s="15">
        <v>4.12</v>
      </c>
      <c r="H167" s="15">
        <v>10.49</v>
      </c>
      <c r="I167" s="16">
        <f>(H167-G167)/(1.96^2)</f>
        <v>1.6581632653061227</v>
      </c>
    </row>
    <row r="168" spans="1:9" ht="15">
      <c r="A168" s="17"/>
      <c r="B168" s="17"/>
      <c r="C168" s="14">
        <v>122</v>
      </c>
      <c r="D168" s="15">
        <v>101</v>
      </c>
      <c r="E168" s="15">
        <v>23</v>
      </c>
      <c r="F168" s="15">
        <v>7.87</v>
      </c>
      <c r="G168" s="15">
        <v>4.8499999999999996</v>
      </c>
      <c r="H168" s="15">
        <v>12.76</v>
      </c>
      <c r="I168" s="16">
        <f>(H168-G168)/(1.96^2)</f>
        <v>2.0590379008746358</v>
      </c>
    </row>
    <row r="169" spans="1:9" ht="15">
      <c r="A169" s="17"/>
      <c r="B169" s="17"/>
      <c r="C169" s="14">
        <v>122</v>
      </c>
      <c r="D169" s="15">
        <v>1</v>
      </c>
      <c r="E169" s="15">
        <v>23</v>
      </c>
      <c r="F169" s="15">
        <v>2.5</v>
      </c>
      <c r="G169" s="15">
        <v>1.55</v>
      </c>
      <c r="H169" s="15">
        <v>4.03</v>
      </c>
      <c r="I169" s="16">
        <f>(H169-G169)/(1.96^2)</f>
        <v>0.64556434818825503</v>
      </c>
    </row>
    <row r="170" spans="1:9" ht="15">
      <c r="A170" s="12">
        <v>2005</v>
      </c>
      <c r="B170" s="12" t="s">
        <v>130</v>
      </c>
      <c r="C170" s="14">
        <v>123</v>
      </c>
      <c r="D170" s="15">
        <v>117</v>
      </c>
      <c r="E170" s="15">
        <v>105</v>
      </c>
      <c r="F170" s="15">
        <v>6.07</v>
      </c>
      <c r="G170" s="15">
        <v>3.4</v>
      </c>
      <c r="H170" s="15">
        <v>10.84</v>
      </c>
      <c r="I170" s="16">
        <f>(H170-G170)/(1.96^2)</f>
        <v>1.9366930445647648</v>
      </c>
    </row>
    <row r="171" spans="1:9" ht="15">
      <c r="A171" s="12">
        <v>2006</v>
      </c>
      <c r="B171" s="12" t="s">
        <v>131</v>
      </c>
      <c r="C171" s="14">
        <v>124</v>
      </c>
      <c r="D171" s="15">
        <v>132</v>
      </c>
      <c r="E171" s="15">
        <v>106</v>
      </c>
      <c r="F171" s="15">
        <v>1.85</v>
      </c>
      <c r="G171" s="15">
        <v>1.46</v>
      </c>
      <c r="H171" s="15">
        <v>2.34</v>
      </c>
      <c r="I171" s="16">
        <f>(H171-G171)/(1.96^2)</f>
        <v>0.22907122032486463</v>
      </c>
    </row>
    <row r="172" spans="1:9" ht="15">
      <c r="A172" s="12">
        <v>2006</v>
      </c>
      <c r="B172" s="12" t="s">
        <v>132</v>
      </c>
      <c r="C172" s="14">
        <v>125</v>
      </c>
      <c r="D172" s="15">
        <v>10</v>
      </c>
      <c r="E172" s="15">
        <v>1</v>
      </c>
      <c r="F172" s="15">
        <v>1.19</v>
      </c>
      <c r="G172" s="15">
        <v>1.02</v>
      </c>
      <c r="H172" s="15">
        <v>1.38</v>
      </c>
      <c r="I172" s="16">
        <f>(H172-G172)/(1.96^2)</f>
        <v>9.3710953769262778E-2</v>
      </c>
    </row>
    <row r="173" spans="1:9" ht="15">
      <c r="A173" s="17"/>
      <c r="B173" s="17"/>
      <c r="C173" s="14">
        <v>125</v>
      </c>
      <c r="D173" s="15">
        <v>10</v>
      </c>
      <c r="E173" s="15">
        <v>7</v>
      </c>
      <c r="F173" s="15">
        <v>1.89</v>
      </c>
      <c r="G173" s="15">
        <v>1.62</v>
      </c>
      <c r="H173" s="15">
        <v>2.2200000000000002</v>
      </c>
      <c r="I173" s="16">
        <f>(H173-G173)/(1.96^2)</f>
        <v>0.15618492294877137</v>
      </c>
    </row>
    <row r="174" spans="1:9" ht="15">
      <c r="A174" s="17"/>
      <c r="B174" s="17"/>
      <c r="C174" s="14">
        <v>125</v>
      </c>
      <c r="D174" s="15">
        <v>1</v>
      </c>
      <c r="E174" s="15">
        <v>7</v>
      </c>
      <c r="F174" s="15">
        <v>1.6</v>
      </c>
      <c r="G174" s="15">
        <v>1.36</v>
      </c>
      <c r="H174" s="15">
        <v>1.87</v>
      </c>
      <c r="I174" s="16">
        <f>(H174-G174)/(1.96^2)</f>
        <v>0.13275718450645566</v>
      </c>
    </row>
    <row r="175" spans="1:9" ht="15">
      <c r="A175" s="12">
        <v>2007</v>
      </c>
      <c r="B175" s="12" t="s">
        <v>133</v>
      </c>
      <c r="C175" s="14">
        <v>126</v>
      </c>
      <c r="D175" s="15">
        <v>111</v>
      </c>
      <c r="E175" s="15">
        <v>5</v>
      </c>
      <c r="F175" s="15">
        <v>2.42</v>
      </c>
      <c r="G175" s="15">
        <v>1.18</v>
      </c>
      <c r="H175" s="15">
        <v>4.93</v>
      </c>
      <c r="I175" s="16">
        <f>(H175-G175)/(1.96^2)</f>
        <v>0.97615576842982099</v>
      </c>
    </row>
    <row r="176" spans="1:9" ht="15">
      <c r="A176" s="12">
        <v>2007</v>
      </c>
      <c r="B176" s="12" t="s">
        <v>134</v>
      </c>
      <c r="C176" s="14">
        <v>127</v>
      </c>
      <c r="D176" s="15">
        <v>600</v>
      </c>
      <c r="E176" s="15">
        <v>105</v>
      </c>
      <c r="F176" s="15">
        <v>1.4</v>
      </c>
      <c r="G176" s="15">
        <v>1.03</v>
      </c>
      <c r="H176" s="15">
        <v>1.89</v>
      </c>
      <c r="I176" s="16">
        <f>(H176-G176)/(1.96^2)</f>
        <v>0.22386505622657224</v>
      </c>
    </row>
    <row r="177" spans="1:9" ht="15">
      <c r="A177" s="12">
        <v>2011</v>
      </c>
      <c r="B177" s="12" t="s">
        <v>135</v>
      </c>
      <c r="C177" s="14">
        <v>128</v>
      </c>
      <c r="D177" s="15">
        <v>133</v>
      </c>
      <c r="E177" s="15">
        <v>101</v>
      </c>
      <c r="F177" s="15">
        <v>2.63</v>
      </c>
      <c r="G177" s="15">
        <v>1.47</v>
      </c>
      <c r="H177" s="15">
        <v>4.7</v>
      </c>
      <c r="I177" s="16">
        <f>(H177-G177)/(1.96^2)</f>
        <v>0.84079550187421925</v>
      </c>
    </row>
    <row r="178" spans="1:9" ht="15">
      <c r="A178" s="12">
        <v>2011</v>
      </c>
      <c r="B178" s="12" t="s">
        <v>136</v>
      </c>
      <c r="C178" s="14">
        <v>129</v>
      </c>
      <c r="D178" s="15">
        <v>113</v>
      </c>
      <c r="E178" s="15">
        <v>200</v>
      </c>
      <c r="F178" s="15">
        <v>2.1800000000000002</v>
      </c>
      <c r="G178" s="15">
        <v>1.39</v>
      </c>
      <c r="H178" s="15">
        <v>3.41</v>
      </c>
      <c r="I178" s="16">
        <f>(H178-G178)/(1.96^2)</f>
        <v>0.5258225739275304</v>
      </c>
    </row>
    <row r="179" spans="1:9" ht="15">
      <c r="A179" s="12">
        <v>2011</v>
      </c>
      <c r="B179" s="12" t="s">
        <v>137</v>
      </c>
      <c r="C179" s="14">
        <v>130</v>
      </c>
      <c r="D179" s="15">
        <v>5</v>
      </c>
      <c r="E179" s="15">
        <v>135</v>
      </c>
      <c r="F179" s="15">
        <v>0.12</v>
      </c>
      <c r="G179" s="15">
        <v>0.05</v>
      </c>
      <c r="H179" s="15">
        <v>0.31</v>
      </c>
      <c r="I179" s="16">
        <f>(H179-G179)/(1.96^2)</f>
        <v>6.7680133277800925E-2</v>
      </c>
    </row>
    <row r="180" spans="1:9" ht="15">
      <c r="A180" s="17"/>
      <c r="B180" s="17"/>
      <c r="C180" s="14">
        <v>130</v>
      </c>
      <c r="D180" s="15">
        <v>5</v>
      </c>
      <c r="E180" s="15">
        <v>111</v>
      </c>
      <c r="F180" s="15">
        <v>0.23</v>
      </c>
      <c r="G180" s="15">
        <v>0.09</v>
      </c>
      <c r="H180" s="15">
        <v>0.59</v>
      </c>
      <c r="I180" s="16">
        <f>(H180-G180)/(1.96^2)</f>
        <v>0.13015410245730946</v>
      </c>
    </row>
    <row r="181" spans="1:9" ht="15">
      <c r="A181" s="17"/>
      <c r="B181" s="17"/>
      <c r="C181" s="14">
        <v>130</v>
      </c>
      <c r="D181" s="15">
        <v>5</v>
      </c>
      <c r="E181" s="15">
        <v>126</v>
      </c>
      <c r="F181" s="15">
        <v>0.16</v>
      </c>
      <c r="G181" s="15">
        <v>7.0000000000000007E-2</v>
      </c>
      <c r="H181" s="15">
        <v>0.4</v>
      </c>
      <c r="I181" s="16">
        <f>(H181-G181)/(1.96^2)</f>
        <v>8.5901707621824253E-2</v>
      </c>
    </row>
    <row r="182" spans="1:9" ht="15">
      <c r="A182" s="17"/>
      <c r="B182" s="17"/>
      <c r="C182" s="14">
        <v>130</v>
      </c>
      <c r="D182" s="15">
        <v>126</v>
      </c>
      <c r="E182" s="15">
        <v>135</v>
      </c>
      <c r="F182" s="15">
        <v>0.35</v>
      </c>
      <c r="G182" s="15">
        <v>0.15</v>
      </c>
      <c r="H182" s="15">
        <v>0.83</v>
      </c>
      <c r="I182" s="16">
        <f>(H182-G182)/(1.96^2)</f>
        <v>0.17700957934194086</v>
      </c>
    </row>
    <row r="183" spans="1:9" ht="15">
      <c r="A183" s="17"/>
      <c r="B183" s="17"/>
      <c r="C183" s="14">
        <v>130</v>
      </c>
      <c r="D183" s="15">
        <v>111</v>
      </c>
      <c r="E183" s="15">
        <v>135</v>
      </c>
      <c r="F183" s="15">
        <v>0.31</v>
      </c>
      <c r="G183" s="15">
        <v>0.13</v>
      </c>
      <c r="H183" s="15">
        <v>0.73</v>
      </c>
      <c r="I183" s="16">
        <f>(H183-G183)/(1.96^2)</f>
        <v>0.15618492294877134</v>
      </c>
    </row>
    <row r="184" spans="1:9" ht="15">
      <c r="A184" s="17"/>
      <c r="B184" s="17"/>
      <c r="C184" s="14">
        <v>130</v>
      </c>
      <c r="D184" s="15">
        <v>111</v>
      </c>
      <c r="E184" s="15">
        <v>126</v>
      </c>
      <c r="F184" s="15">
        <v>0.61</v>
      </c>
      <c r="G184" s="15">
        <v>0.27</v>
      </c>
      <c r="H184" s="15">
        <v>1.41</v>
      </c>
      <c r="I184" s="16">
        <f>(H184-G184)/(1.96^2)</f>
        <v>0.29675135360266558</v>
      </c>
    </row>
    <row r="185" spans="1:9" ht="15">
      <c r="A185" s="12">
        <v>2007</v>
      </c>
      <c r="B185" s="12" t="s">
        <v>138</v>
      </c>
      <c r="C185" s="14">
        <v>131</v>
      </c>
      <c r="D185" s="15">
        <v>106</v>
      </c>
      <c r="E185" s="15">
        <v>105</v>
      </c>
      <c r="F185" s="15">
        <v>1.31</v>
      </c>
      <c r="G185" s="15">
        <v>0.92</v>
      </c>
      <c r="H185" s="15">
        <v>1.85</v>
      </c>
      <c r="I185" s="16">
        <f>(H185-G185)/(1.96^2)</f>
        <v>0.24208663057059562</v>
      </c>
    </row>
    <row r="186" spans="1:9" ht="15">
      <c r="A186" s="12">
        <v>2007</v>
      </c>
      <c r="B186" s="12" t="s">
        <v>139</v>
      </c>
      <c r="C186" s="14">
        <v>132</v>
      </c>
      <c r="D186" s="15">
        <v>135</v>
      </c>
      <c r="E186" s="15">
        <v>5</v>
      </c>
      <c r="F186" s="15">
        <v>4.57</v>
      </c>
      <c r="G186" s="15">
        <v>2.85</v>
      </c>
      <c r="H186" s="15">
        <v>7.31</v>
      </c>
      <c r="I186" s="16">
        <f>(H186-G186)/(1.96^2)</f>
        <v>1.1609745939192002</v>
      </c>
    </row>
    <row r="187" spans="1:9" ht="15">
      <c r="A187" s="12">
        <v>2008</v>
      </c>
      <c r="B187" s="12" t="s">
        <v>140</v>
      </c>
      <c r="C187" s="14">
        <v>133</v>
      </c>
      <c r="D187" s="15">
        <v>43</v>
      </c>
      <c r="E187" s="15">
        <v>0</v>
      </c>
      <c r="F187" s="15">
        <v>3.28</v>
      </c>
      <c r="G187" s="15">
        <v>1.81</v>
      </c>
      <c r="H187" s="15">
        <v>5.93</v>
      </c>
      <c r="I187" s="16">
        <f>(H187-G187)/(1.96^2)</f>
        <v>1.0724698042482297</v>
      </c>
    </row>
    <row r="188" spans="1:9" ht="15">
      <c r="A188" s="12">
        <v>2002</v>
      </c>
      <c r="B188" s="12" t="s">
        <v>141</v>
      </c>
      <c r="C188" s="14">
        <v>134</v>
      </c>
      <c r="D188" s="15">
        <v>1</v>
      </c>
      <c r="E188" s="15">
        <v>106</v>
      </c>
      <c r="F188" s="15">
        <v>0.2</v>
      </c>
      <c r="G188" s="15">
        <v>7.0000000000000007E-2</v>
      </c>
      <c r="H188" s="15">
        <v>0.55000000000000004</v>
      </c>
      <c r="I188" s="16">
        <f>(H188-G188)/(1.96^2)</f>
        <v>0.1249479383590171</v>
      </c>
    </row>
    <row r="189" spans="1:9" ht="15">
      <c r="A189" s="12">
        <v>2000</v>
      </c>
      <c r="B189" s="12" t="s">
        <v>142</v>
      </c>
      <c r="C189" s="14">
        <v>135</v>
      </c>
      <c r="D189" s="15">
        <v>15</v>
      </c>
      <c r="E189" s="15">
        <v>0</v>
      </c>
      <c r="F189" s="15">
        <v>9.75</v>
      </c>
      <c r="G189" s="15">
        <v>2.0699999999999998</v>
      </c>
      <c r="H189" s="15">
        <v>45.95</v>
      </c>
      <c r="I189" s="16">
        <f>(H189-G189)/(1.96^2)</f>
        <v>11.42232403165348</v>
      </c>
    </row>
    <row r="190" spans="1:9" ht="15">
      <c r="A190" s="12">
        <v>2008</v>
      </c>
      <c r="B190" s="12" t="s">
        <v>143</v>
      </c>
      <c r="C190" s="14">
        <v>136</v>
      </c>
      <c r="D190" s="15">
        <v>43</v>
      </c>
      <c r="E190" s="15">
        <v>0</v>
      </c>
      <c r="F190" s="15">
        <v>2.74</v>
      </c>
      <c r="G190" s="15">
        <v>1.74</v>
      </c>
      <c r="H190" s="15">
        <v>4.3099999999999996</v>
      </c>
      <c r="I190" s="16">
        <f>(H190-G190)/(1.96^2)</f>
        <v>0.66899208663057053</v>
      </c>
    </row>
    <row r="191" spans="1:9" ht="15">
      <c r="A191" s="12">
        <v>2003</v>
      </c>
      <c r="B191" s="12" t="s">
        <v>144</v>
      </c>
      <c r="C191" s="14">
        <v>137</v>
      </c>
      <c r="D191" s="15">
        <v>9</v>
      </c>
      <c r="E191" s="15">
        <v>0</v>
      </c>
      <c r="F191" s="15">
        <v>4.7</v>
      </c>
      <c r="G191" s="15">
        <v>0.57999999999999996</v>
      </c>
      <c r="H191" s="15">
        <v>37.89</v>
      </c>
      <c r="I191" s="16">
        <f>(H191-G191)/(1.96^2)</f>
        <v>9.7120991253644338</v>
      </c>
    </row>
    <row r="192" spans="1:9" ht="15">
      <c r="A192" s="12">
        <v>2011</v>
      </c>
      <c r="B192" s="12" t="s">
        <v>145</v>
      </c>
      <c r="C192" s="14">
        <v>138</v>
      </c>
      <c r="D192" s="15">
        <v>23</v>
      </c>
      <c r="E192" s="15">
        <v>0</v>
      </c>
      <c r="F192" s="15">
        <v>2.92</v>
      </c>
      <c r="G192" s="15">
        <v>1.45</v>
      </c>
      <c r="H192" s="15">
        <v>5.88</v>
      </c>
      <c r="I192" s="16">
        <f>(H192-G192)/(1.96^2)</f>
        <v>1.1531653477717618</v>
      </c>
    </row>
    <row r="193" spans="1:9" ht="15">
      <c r="A193" s="12">
        <v>2009</v>
      </c>
      <c r="B193" s="12" t="s">
        <v>146</v>
      </c>
      <c r="C193" s="14">
        <v>139</v>
      </c>
      <c r="D193" s="15">
        <v>9</v>
      </c>
      <c r="E193" s="15">
        <v>5</v>
      </c>
      <c r="F193" s="15">
        <v>0.44</v>
      </c>
      <c r="G193" s="15">
        <v>0.24</v>
      </c>
      <c r="H193" s="15">
        <v>0.79</v>
      </c>
      <c r="I193" s="16">
        <f>(H193-G193)/(1.96^2)</f>
        <v>0.14316951270304043</v>
      </c>
    </row>
    <row r="194" spans="1:9" ht="15">
      <c r="A194" s="12">
        <v>2009</v>
      </c>
      <c r="B194" s="12" t="s">
        <v>147</v>
      </c>
      <c r="C194" s="14">
        <v>140</v>
      </c>
      <c r="D194" s="15">
        <v>14</v>
      </c>
      <c r="E194" s="15">
        <v>3</v>
      </c>
      <c r="F194" s="15">
        <v>0.72</v>
      </c>
      <c r="G194" s="15">
        <v>0.55000000000000004</v>
      </c>
      <c r="H194" s="15">
        <v>0.95</v>
      </c>
      <c r="I194" s="16">
        <f>(H194-G194)/(1.96^2)</f>
        <v>0.10412328196584755</v>
      </c>
    </row>
    <row r="195" spans="1:9" ht="15">
      <c r="A195" s="12">
        <v>2006</v>
      </c>
      <c r="B195" s="12" t="s">
        <v>148</v>
      </c>
      <c r="C195" s="14">
        <v>141</v>
      </c>
      <c r="D195" s="15">
        <v>9</v>
      </c>
      <c r="E195" s="15">
        <v>5</v>
      </c>
      <c r="F195" s="15">
        <v>0.93</v>
      </c>
      <c r="G195" s="15">
        <v>0.66</v>
      </c>
      <c r="H195" s="15">
        <v>1.3</v>
      </c>
      <c r="I195" s="16">
        <f>(H195-G195)/(1.96^2)</f>
        <v>0.16659725114535612</v>
      </c>
    </row>
    <row r="196" spans="1:9" ht="15">
      <c r="A196" s="12">
        <v>2009</v>
      </c>
      <c r="B196" s="12" t="s">
        <v>149</v>
      </c>
      <c r="C196" s="14">
        <v>142</v>
      </c>
      <c r="D196" s="15">
        <v>113</v>
      </c>
      <c r="E196" s="15">
        <v>200</v>
      </c>
      <c r="F196" s="15">
        <v>2.13</v>
      </c>
      <c r="G196" s="15">
        <v>1.37</v>
      </c>
      <c r="H196" s="15">
        <v>3.3</v>
      </c>
      <c r="I196" s="16">
        <f>(H196-G196)/(1.96^2)</f>
        <v>0.50239483548521446</v>
      </c>
    </row>
    <row r="197" spans="1:9" ht="15">
      <c r="A197" s="12">
        <v>2002</v>
      </c>
      <c r="B197" s="12" t="s">
        <v>150</v>
      </c>
      <c r="C197" s="14">
        <v>143</v>
      </c>
      <c r="D197" s="15">
        <v>106</v>
      </c>
      <c r="E197" s="15">
        <v>100</v>
      </c>
      <c r="F197" s="15">
        <v>7.94</v>
      </c>
      <c r="G197" s="15">
        <v>4.76</v>
      </c>
      <c r="H197" s="15">
        <v>13.22</v>
      </c>
      <c r="I197" s="16">
        <f>(H197-G197)/(1.96^2)</f>
        <v>2.2022074135776766</v>
      </c>
    </row>
    <row r="198" spans="1:9" ht="15">
      <c r="A198" s="12">
        <v>2006</v>
      </c>
      <c r="B198" s="12" t="s">
        <v>151</v>
      </c>
      <c r="C198" s="14">
        <v>144</v>
      </c>
      <c r="D198" s="15">
        <v>105</v>
      </c>
      <c r="E198" s="15">
        <v>106</v>
      </c>
      <c r="F198" s="15">
        <v>1.05</v>
      </c>
      <c r="G198" s="15">
        <v>0.6</v>
      </c>
      <c r="H198" s="15">
        <v>1.82</v>
      </c>
      <c r="I198" s="16">
        <f>(H198-G198)/(1.96^2)</f>
        <v>0.31757600999583513</v>
      </c>
    </row>
    <row r="199" spans="1:9" ht="15">
      <c r="A199" s="12">
        <v>2010</v>
      </c>
      <c r="B199" s="12" t="s">
        <v>152</v>
      </c>
      <c r="C199" s="14">
        <v>145</v>
      </c>
      <c r="D199" s="15">
        <v>17</v>
      </c>
      <c r="E199" s="15">
        <v>2</v>
      </c>
      <c r="F199" s="15">
        <v>2.12</v>
      </c>
      <c r="G199" s="15">
        <v>1.37</v>
      </c>
      <c r="H199" s="15">
        <v>3.29</v>
      </c>
      <c r="I199" s="16">
        <f>(H199-G199)/(1.96^2)</f>
        <v>0.49979175343606835</v>
      </c>
    </row>
    <row r="200" spans="1:9" ht="15">
      <c r="A200" s="12">
        <v>2008</v>
      </c>
      <c r="B200" s="12" t="s">
        <v>153</v>
      </c>
      <c r="C200" s="14">
        <v>146</v>
      </c>
      <c r="D200" s="15">
        <v>101</v>
      </c>
      <c r="E200" s="15">
        <v>1</v>
      </c>
      <c r="F200" s="15">
        <v>8.31</v>
      </c>
      <c r="G200" s="15">
        <v>2.38</v>
      </c>
      <c r="H200" s="15">
        <v>28.94</v>
      </c>
      <c r="I200" s="16">
        <f>(H200-G200)/(1.96^2)</f>
        <v>6.9137859225322797</v>
      </c>
    </row>
    <row r="201" spans="1:9" ht="15">
      <c r="A201" s="12">
        <v>2007</v>
      </c>
      <c r="B201" s="12" t="s">
        <v>154</v>
      </c>
      <c r="C201" s="14">
        <v>147</v>
      </c>
      <c r="D201" s="15">
        <v>11</v>
      </c>
      <c r="E201" s="15">
        <v>3</v>
      </c>
      <c r="F201" s="15">
        <v>1.03</v>
      </c>
      <c r="G201" s="15">
        <v>0.64</v>
      </c>
      <c r="H201" s="15">
        <v>1.68</v>
      </c>
      <c r="I201" s="16">
        <f>(H201-G201)/(1.96^2)</f>
        <v>0.2707205331112037</v>
      </c>
    </row>
    <row r="202" spans="1:9" ht="15">
      <c r="A202" s="12">
        <v>2009</v>
      </c>
      <c r="B202" s="12" t="s">
        <v>67</v>
      </c>
      <c r="C202" s="14">
        <v>148</v>
      </c>
      <c r="D202" s="15">
        <v>113</v>
      </c>
      <c r="E202" s="15">
        <v>11</v>
      </c>
      <c r="F202" s="15">
        <v>1.88</v>
      </c>
      <c r="G202" s="15">
        <v>1.1399999999999999</v>
      </c>
      <c r="H202" s="15">
        <v>3.11</v>
      </c>
      <c r="I202" s="16">
        <f>(H202-G202)/(1.96^2)</f>
        <v>0.51280716368179924</v>
      </c>
    </row>
    <row r="203" spans="1:9" ht="15">
      <c r="A203" s="12">
        <v>2000</v>
      </c>
      <c r="B203" s="12" t="s">
        <v>155</v>
      </c>
      <c r="C203" s="14">
        <v>149</v>
      </c>
      <c r="D203" s="15">
        <v>120</v>
      </c>
      <c r="E203" s="15">
        <v>12</v>
      </c>
      <c r="F203" s="15">
        <v>11.21</v>
      </c>
      <c r="G203" s="15">
        <v>5.21</v>
      </c>
      <c r="H203" s="15">
        <v>24.13</v>
      </c>
      <c r="I203" s="16">
        <f>(H203-G203)/(1.96^2)</f>
        <v>4.9250312369845899</v>
      </c>
    </row>
    <row r="204" spans="1:9" ht="15">
      <c r="A204" s="12">
        <v>2002</v>
      </c>
      <c r="B204" s="12" t="s">
        <v>156</v>
      </c>
      <c r="C204" s="14">
        <v>150</v>
      </c>
      <c r="D204" s="15">
        <v>136</v>
      </c>
      <c r="E204" s="15">
        <v>5</v>
      </c>
      <c r="F204" s="15">
        <v>1.95</v>
      </c>
      <c r="G204" s="15">
        <v>0.99</v>
      </c>
      <c r="H204" s="15">
        <v>3.83</v>
      </c>
      <c r="I204" s="16">
        <f>(H204-G204)/(1.96^2)</f>
        <v>0.73927530195751767</v>
      </c>
    </row>
    <row r="205" spans="1:9" ht="15">
      <c r="A205" s="12">
        <v>2009</v>
      </c>
      <c r="B205" s="12" t="s">
        <v>157</v>
      </c>
      <c r="C205" s="14">
        <v>151</v>
      </c>
      <c r="D205" s="15">
        <v>137</v>
      </c>
      <c r="E205" s="15">
        <v>106</v>
      </c>
      <c r="F205" s="15">
        <v>0.4</v>
      </c>
      <c r="G205" s="15">
        <v>0.17</v>
      </c>
      <c r="H205" s="15">
        <v>0.97</v>
      </c>
      <c r="I205" s="16">
        <f>(H205-G205)/(1.96^2)</f>
        <v>0.20824656393169513</v>
      </c>
    </row>
    <row r="206" spans="1:9" ht="15">
      <c r="A206" s="17"/>
      <c r="B206" s="17"/>
      <c r="C206" s="14">
        <v>151</v>
      </c>
      <c r="D206" s="15">
        <v>101</v>
      </c>
      <c r="E206" s="15">
        <v>106</v>
      </c>
      <c r="F206" s="15">
        <v>0.69</v>
      </c>
      <c r="G206" s="15">
        <v>0.31</v>
      </c>
      <c r="H206" s="15">
        <v>1.56</v>
      </c>
      <c r="I206" s="16">
        <f>(H206-G206)/(1.96^2)</f>
        <v>0.32538525614327368</v>
      </c>
    </row>
    <row r="207" spans="1:9" ht="15">
      <c r="A207" s="17"/>
      <c r="B207" s="17"/>
      <c r="C207" s="14">
        <v>151</v>
      </c>
      <c r="D207" s="15">
        <v>137</v>
      </c>
      <c r="E207" s="15">
        <v>101</v>
      </c>
      <c r="F207" s="15">
        <v>0.57999999999999996</v>
      </c>
      <c r="G207" s="15">
        <v>0.23</v>
      </c>
      <c r="H207" s="15">
        <v>1.43</v>
      </c>
      <c r="I207" s="16">
        <f>(H207-G207)/(1.96^2)</f>
        <v>0.31236984589754269</v>
      </c>
    </row>
    <row r="208" spans="1:9" ht="15">
      <c r="A208" s="12">
        <v>2009</v>
      </c>
      <c r="B208" s="12" t="s">
        <v>158</v>
      </c>
      <c r="C208" s="14">
        <v>152</v>
      </c>
      <c r="D208" s="15">
        <v>13</v>
      </c>
      <c r="E208" s="15">
        <v>0</v>
      </c>
      <c r="F208" s="15">
        <v>2.2200000000000002</v>
      </c>
      <c r="G208" s="15">
        <v>1.18</v>
      </c>
      <c r="H208" s="15">
        <v>4.16</v>
      </c>
      <c r="I208" s="16">
        <f>(H208-G208)/(1.96^2)</f>
        <v>0.77571845064556455</v>
      </c>
    </row>
    <row r="209" spans="1:9" ht="15">
      <c r="A209" s="12">
        <v>2010</v>
      </c>
      <c r="B209" s="12" t="s">
        <v>42</v>
      </c>
      <c r="C209" s="14">
        <v>153</v>
      </c>
      <c r="D209" s="15">
        <v>137</v>
      </c>
      <c r="E209" s="15">
        <v>0</v>
      </c>
      <c r="F209" s="15">
        <v>1.56</v>
      </c>
      <c r="G209" s="15">
        <v>0.96</v>
      </c>
      <c r="H209" s="15">
        <v>2.54</v>
      </c>
      <c r="I209" s="16">
        <f>(H209-G209)/(1.96^2)</f>
        <v>0.41128696376509793</v>
      </c>
    </row>
    <row r="210" spans="1:9" ht="15">
      <c r="A210" s="12">
        <v>2009</v>
      </c>
      <c r="B210" s="12" t="s">
        <v>159</v>
      </c>
      <c r="C210" s="14">
        <v>154</v>
      </c>
      <c r="D210" s="15">
        <v>138</v>
      </c>
      <c r="E210" s="15">
        <v>11</v>
      </c>
      <c r="F210" s="15">
        <v>6.29</v>
      </c>
      <c r="G210" s="15">
        <v>4.08</v>
      </c>
      <c r="H210" s="15">
        <v>9.6999999999999993</v>
      </c>
      <c r="I210" s="16">
        <f>(H210-G210)/(1.96^2)</f>
        <v>1.4629321116201581</v>
      </c>
    </row>
    <row r="211" spans="1:9" ht="15">
      <c r="A211" s="12">
        <v>2009</v>
      </c>
      <c r="B211" s="12" t="s">
        <v>160</v>
      </c>
      <c r="C211" s="14">
        <v>155</v>
      </c>
      <c r="D211" s="15">
        <v>139</v>
      </c>
      <c r="E211" s="15">
        <v>7</v>
      </c>
      <c r="F211" s="15">
        <v>9.6</v>
      </c>
      <c r="G211" s="15">
        <v>5.81</v>
      </c>
      <c r="H211" s="15">
        <v>15.87</v>
      </c>
      <c r="I211" s="16">
        <f>(H211-G211)/(1.96^2)</f>
        <v>2.6187005414410662</v>
      </c>
    </row>
    <row r="212" spans="1:9" ht="15">
      <c r="A212" s="12">
        <v>2008</v>
      </c>
      <c r="B212" s="12" t="s">
        <v>161</v>
      </c>
      <c r="C212" s="14">
        <v>156</v>
      </c>
      <c r="D212" s="15">
        <v>132</v>
      </c>
      <c r="E212" s="15">
        <v>105</v>
      </c>
      <c r="F212" s="15">
        <v>2.14</v>
      </c>
      <c r="G212" s="15">
        <v>1.68</v>
      </c>
      <c r="H212" s="15">
        <v>2.71</v>
      </c>
      <c r="I212" s="16">
        <f>(H212-G212)/(1.96^2)</f>
        <v>0.26811745106205753</v>
      </c>
    </row>
    <row r="213" spans="1:9" ht="15">
      <c r="A213" s="12">
        <v>2010</v>
      </c>
      <c r="B213" s="12" t="s">
        <v>162</v>
      </c>
      <c r="C213" s="14">
        <v>157</v>
      </c>
      <c r="D213" s="15">
        <v>118</v>
      </c>
      <c r="E213" s="15">
        <v>106</v>
      </c>
      <c r="F213" s="15">
        <v>1.41</v>
      </c>
      <c r="G213" s="15">
        <v>0.92</v>
      </c>
      <c r="H213" s="15">
        <v>2.17</v>
      </c>
      <c r="I213" s="16">
        <f>(H213-G213)/(1.96^2)</f>
        <v>0.32538525614327368</v>
      </c>
    </row>
    <row r="214" spans="1:9" ht="15">
      <c r="A214" s="12">
        <v>2009</v>
      </c>
      <c r="B214" s="12" t="s">
        <v>163</v>
      </c>
      <c r="C214" s="14">
        <v>158</v>
      </c>
      <c r="D214" s="15">
        <v>106</v>
      </c>
      <c r="E214" s="15">
        <v>1</v>
      </c>
      <c r="F214" s="15">
        <v>7.08</v>
      </c>
      <c r="G214" s="15">
        <v>2.91</v>
      </c>
      <c r="H214" s="15">
        <v>17.25</v>
      </c>
      <c r="I214" s="16">
        <f>(H214-G214)/(1.96^2)</f>
        <v>3.7328196584756355</v>
      </c>
    </row>
    <row r="215" spans="1:9" ht="15">
      <c r="A215" s="12">
        <v>2011</v>
      </c>
      <c r="B215" s="12" t="s">
        <v>164</v>
      </c>
      <c r="C215" s="14">
        <v>159</v>
      </c>
      <c r="D215" s="15">
        <v>9</v>
      </c>
      <c r="E215" s="15">
        <v>5</v>
      </c>
      <c r="F215" s="15">
        <v>0.74</v>
      </c>
      <c r="G215" s="15">
        <v>0.49</v>
      </c>
      <c r="H215" s="15">
        <v>1.1299999999999999</v>
      </c>
      <c r="I215" s="16">
        <f>(H215-G215)/(1.96^2)</f>
        <v>0.16659725114535609</v>
      </c>
    </row>
    <row r="216" spans="1:9" ht="15">
      <c r="A216" s="12">
        <v>2006</v>
      </c>
      <c r="B216" s="12" t="s">
        <v>52</v>
      </c>
      <c r="C216" s="14">
        <v>160</v>
      </c>
      <c r="D216" s="15">
        <v>118</v>
      </c>
      <c r="E216" s="15">
        <v>5</v>
      </c>
      <c r="F216" s="15">
        <v>2.35</v>
      </c>
      <c r="G216" s="15">
        <v>1.21</v>
      </c>
      <c r="H216" s="15">
        <v>4.59</v>
      </c>
      <c r="I216" s="16">
        <f>(H216-G216)/(1.96^2)</f>
        <v>0.87984173261141196</v>
      </c>
    </row>
    <row r="217" spans="1:9" ht="15">
      <c r="A217" s="17"/>
      <c r="B217" s="17"/>
      <c r="C217" s="14">
        <v>160</v>
      </c>
      <c r="D217" s="15">
        <v>118</v>
      </c>
      <c r="E217" s="15">
        <v>105</v>
      </c>
      <c r="F217" s="15">
        <v>44.71</v>
      </c>
      <c r="G217" s="15">
        <v>5.96</v>
      </c>
      <c r="H217" s="15">
        <v>335.19</v>
      </c>
      <c r="I217" s="16">
        <f>(H217-G217)/(1.96^2)</f>
        <v>85.701270304039994</v>
      </c>
    </row>
    <row r="218" spans="1:9" ht="15">
      <c r="A218" s="17"/>
      <c r="B218" s="17"/>
      <c r="C218" s="14">
        <v>160</v>
      </c>
      <c r="D218" s="15">
        <v>5</v>
      </c>
      <c r="E218" s="15">
        <v>105</v>
      </c>
      <c r="F218" s="15">
        <v>19</v>
      </c>
      <c r="G218" s="15">
        <v>2.48</v>
      </c>
      <c r="H218" s="15">
        <v>145.82</v>
      </c>
      <c r="I218" s="16">
        <f>(H218-G218)/(1.96^2)</f>
        <v>37.312578092461479</v>
      </c>
    </row>
    <row r="219" spans="1:9" ht="15">
      <c r="A219" s="12">
        <v>2006</v>
      </c>
      <c r="B219" s="12" t="s">
        <v>165</v>
      </c>
      <c r="C219" s="14">
        <v>161</v>
      </c>
      <c r="D219" s="15">
        <v>126</v>
      </c>
      <c r="E219" s="15">
        <v>105</v>
      </c>
      <c r="F219" s="15">
        <v>1.31</v>
      </c>
      <c r="G219" s="15">
        <v>0.89</v>
      </c>
      <c r="H219" s="15">
        <v>1.94</v>
      </c>
      <c r="I219" s="16">
        <f>(H219-G219)/(1.96^2)</f>
        <v>0.27332361516034981</v>
      </c>
    </row>
    <row r="220" spans="1:9" ht="15">
      <c r="A220" s="12">
        <v>2006</v>
      </c>
      <c r="B220" s="12" t="s">
        <v>166</v>
      </c>
      <c r="C220" s="14">
        <v>162</v>
      </c>
      <c r="D220" s="15">
        <v>5</v>
      </c>
      <c r="E220" s="15">
        <v>105</v>
      </c>
      <c r="F220" s="15">
        <v>1.1299999999999999</v>
      </c>
      <c r="G220" s="15">
        <v>0.72</v>
      </c>
      <c r="H220" s="15">
        <v>1.78</v>
      </c>
      <c r="I220" s="16">
        <f>(H220-G220)/(1.96^2)</f>
        <v>0.27592669720949609</v>
      </c>
    </row>
    <row r="221" spans="1:9" ht="15">
      <c r="A221" s="12">
        <v>2007</v>
      </c>
      <c r="B221" s="12" t="s">
        <v>167</v>
      </c>
      <c r="C221" s="14">
        <v>163</v>
      </c>
      <c r="D221" s="15">
        <v>5</v>
      </c>
      <c r="E221" s="15">
        <v>105</v>
      </c>
      <c r="F221" s="15">
        <v>2.14</v>
      </c>
      <c r="G221" s="15">
        <v>1.06</v>
      </c>
      <c r="H221" s="15">
        <v>4.34</v>
      </c>
      <c r="I221" s="16">
        <f>(H221-G221)/(1.96^2)</f>
        <v>0.85381091211995008</v>
      </c>
    </row>
    <row r="222" spans="1:9" ht="15">
      <c r="A222" s="12">
        <v>2011</v>
      </c>
      <c r="B222" s="12" t="s">
        <v>168</v>
      </c>
      <c r="C222" s="14">
        <v>164</v>
      </c>
      <c r="D222" s="15">
        <v>119</v>
      </c>
      <c r="E222" s="15">
        <v>126</v>
      </c>
      <c r="F222" s="15">
        <v>9.3699999999999992</v>
      </c>
      <c r="G222" s="15">
        <v>3.78</v>
      </c>
      <c r="H222" s="15">
        <v>23.25</v>
      </c>
      <c r="I222" s="16">
        <f>(H222-G222)/(1.96^2)</f>
        <v>5.0682007496876302</v>
      </c>
    </row>
    <row r="223" spans="1:9" ht="15">
      <c r="A223" s="12">
        <v>2010</v>
      </c>
      <c r="B223" s="12" t="s">
        <v>169</v>
      </c>
      <c r="C223" s="14">
        <v>165</v>
      </c>
      <c r="D223" s="15">
        <v>105</v>
      </c>
      <c r="E223" s="15">
        <v>101</v>
      </c>
      <c r="F223" s="15">
        <v>3.3</v>
      </c>
      <c r="G223" s="15">
        <v>2.09</v>
      </c>
      <c r="H223" s="15">
        <v>5.22</v>
      </c>
      <c r="I223" s="16">
        <f>(H223-G223)/(1.96^2)</f>
        <v>0.81476468138275726</v>
      </c>
    </row>
    <row r="224" spans="1:9" ht="15">
      <c r="A224" s="17"/>
      <c r="B224" s="17"/>
      <c r="C224" s="14">
        <v>165</v>
      </c>
      <c r="D224" s="15">
        <v>105</v>
      </c>
      <c r="E224" s="15">
        <v>106</v>
      </c>
      <c r="F224" s="15">
        <v>1.89</v>
      </c>
      <c r="G224" s="15">
        <v>1.21</v>
      </c>
      <c r="H224" s="15">
        <v>2.93</v>
      </c>
      <c r="I224" s="16">
        <f>(H224-G224)/(1.96^2)</f>
        <v>0.44773011245314459</v>
      </c>
    </row>
    <row r="225" spans="1:9" ht="15">
      <c r="A225" s="17"/>
      <c r="B225" s="17"/>
      <c r="C225" s="14">
        <v>165</v>
      </c>
      <c r="D225" s="15">
        <v>101</v>
      </c>
      <c r="E225" s="15">
        <v>106</v>
      </c>
      <c r="F225" s="15">
        <v>0.56999999999999995</v>
      </c>
      <c r="G225" s="15">
        <v>0.36</v>
      </c>
      <c r="H225" s="15">
        <v>0.9</v>
      </c>
      <c r="I225" s="16">
        <f>(H225-G225)/(1.96^2)</f>
        <v>0.14056643065389424</v>
      </c>
    </row>
    <row r="226" spans="1:9" ht="15">
      <c r="A226" s="12">
        <v>2005</v>
      </c>
      <c r="B226" s="12" t="s">
        <v>170</v>
      </c>
      <c r="C226" s="14">
        <v>166</v>
      </c>
      <c r="D226" s="15">
        <v>105</v>
      </c>
      <c r="E226" s="15">
        <v>1</v>
      </c>
      <c r="F226" s="15">
        <v>5.81</v>
      </c>
      <c r="G226" s="15">
        <v>2.63</v>
      </c>
      <c r="H226" s="15">
        <v>12.8</v>
      </c>
      <c r="I226" s="16">
        <f>(H226-G226)/(1.96^2)</f>
        <v>2.6473344439816748</v>
      </c>
    </row>
    <row r="227" spans="1:9" ht="15">
      <c r="A227" s="12">
        <v>2006</v>
      </c>
      <c r="B227" s="12" t="s">
        <v>171</v>
      </c>
      <c r="C227" s="14">
        <v>167</v>
      </c>
      <c r="D227" s="15">
        <v>106</v>
      </c>
      <c r="E227" s="15">
        <v>1</v>
      </c>
      <c r="F227" s="15">
        <v>1.48</v>
      </c>
      <c r="G227" s="15">
        <v>1.06</v>
      </c>
      <c r="H227" s="15">
        <v>2.06</v>
      </c>
      <c r="I227" s="16">
        <f>(H227-G227)/(1.96^2)</f>
        <v>0.26030820491461892</v>
      </c>
    </row>
    <row r="228" spans="1:9" ht="15">
      <c r="A228" s="12">
        <v>2006</v>
      </c>
      <c r="B228" s="12" t="s">
        <v>132</v>
      </c>
      <c r="C228" s="14">
        <v>168</v>
      </c>
      <c r="D228" s="15">
        <v>10</v>
      </c>
      <c r="E228" s="15">
        <v>1</v>
      </c>
      <c r="F228" s="15">
        <v>1.19</v>
      </c>
      <c r="G228" s="15">
        <v>1.02</v>
      </c>
      <c r="H228" s="15">
        <v>1.38</v>
      </c>
      <c r="I228" s="16">
        <f>(H228-G228)/(1.96^2)</f>
        <v>9.3710953769262778E-2</v>
      </c>
    </row>
    <row r="229" spans="1:9" ht="15">
      <c r="A229" s="17"/>
      <c r="B229" s="17"/>
      <c r="C229" s="14">
        <v>168</v>
      </c>
      <c r="D229" s="15">
        <v>10</v>
      </c>
      <c r="E229" s="15">
        <v>7</v>
      </c>
      <c r="F229" s="15">
        <v>1.89</v>
      </c>
      <c r="G229" s="15">
        <v>1.62</v>
      </c>
      <c r="H229" s="15">
        <v>2.2200000000000002</v>
      </c>
      <c r="I229" s="16">
        <f>(H229-G229)/(1.96^2)</f>
        <v>0.15618492294877137</v>
      </c>
    </row>
    <row r="230" spans="1:9" ht="15">
      <c r="A230" s="17"/>
      <c r="B230" s="17"/>
      <c r="C230" s="14">
        <v>168</v>
      </c>
      <c r="D230" s="15">
        <v>1</v>
      </c>
      <c r="E230" s="15">
        <v>7</v>
      </c>
      <c r="F230" s="15">
        <v>1.6</v>
      </c>
      <c r="G230" s="15">
        <v>1.36</v>
      </c>
      <c r="H230" s="15">
        <v>1.87</v>
      </c>
      <c r="I230" s="16">
        <f>(H230-G230)/(1.96^2)</f>
        <v>0.13275718450645566</v>
      </c>
    </row>
    <row r="231" spans="1:9" ht="15">
      <c r="A231" s="12">
        <v>2011</v>
      </c>
      <c r="B231" s="12" t="s">
        <v>172</v>
      </c>
      <c r="C231" s="14">
        <v>169</v>
      </c>
      <c r="D231" s="15">
        <v>35</v>
      </c>
      <c r="E231" s="15">
        <v>0</v>
      </c>
      <c r="F231" s="15">
        <v>8.94</v>
      </c>
      <c r="G231" s="15">
        <v>3.48</v>
      </c>
      <c r="H231" s="15">
        <v>22.99</v>
      </c>
      <c r="I231" s="16">
        <f>(H231-G231)/(1.96^2)</f>
        <v>5.0786130778842145</v>
      </c>
    </row>
    <row r="232" spans="1:9" ht="15">
      <c r="A232" s="17"/>
      <c r="B232" s="17"/>
      <c r="C232" s="14">
        <v>169</v>
      </c>
      <c r="D232" s="15">
        <v>35</v>
      </c>
      <c r="E232" s="15">
        <v>20</v>
      </c>
      <c r="F232" s="15">
        <v>3.26</v>
      </c>
      <c r="G232" s="15">
        <v>1.61</v>
      </c>
      <c r="H232" s="15">
        <v>6.57</v>
      </c>
      <c r="I232" s="16">
        <f>(H232-G232)/(1.96^2)</f>
        <v>1.2911286963765098</v>
      </c>
    </row>
    <row r="233" spans="1:9" ht="15">
      <c r="A233" s="17"/>
      <c r="B233" s="17"/>
      <c r="C233" s="14">
        <v>169</v>
      </c>
      <c r="D233" s="15">
        <v>0</v>
      </c>
      <c r="E233" s="15">
        <v>20</v>
      </c>
      <c r="F233" s="15">
        <v>0.36</v>
      </c>
      <c r="G233" s="15">
        <v>0.13</v>
      </c>
      <c r="H233" s="15">
        <v>0.99</v>
      </c>
      <c r="I233" s="16">
        <f>(H233-G233)/(1.96^2)</f>
        <v>0.22386505622657227</v>
      </c>
    </row>
    <row r="234" spans="1:9" ht="15">
      <c r="A234" s="12">
        <v>2011</v>
      </c>
      <c r="B234" s="12" t="s">
        <v>173</v>
      </c>
      <c r="C234" s="14">
        <v>170</v>
      </c>
      <c r="D234" s="15">
        <v>47</v>
      </c>
      <c r="E234" s="15">
        <v>0</v>
      </c>
      <c r="F234" s="15">
        <v>3.34</v>
      </c>
      <c r="G234" s="15">
        <v>1.39</v>
      </c>
      <c r="H234" s="15">
        <v>8</v>
      </c>
      <c r="I234" s="16">
        <f>(H234-G234)/(1.96^2)</f>
        <v>1.7206372344856311</v>
      </c>
    </row>
    <row r="235" spans="1:9" ht="15">
      <c r="A235" s="12">
        <v>2004</v>
      </c>
      <c r="B235" s="12" t="s">
        <v>174</v>
      </c>
      <c r="C235" s="14">
        <v>171</v>
      </c>
      <c r="D235" s="15">
        <v>119</v>
      </c>
      <c r="E235" s="15">
        <v>118</v>
      </c>
      <c r="F235" s="15">
        <v>1.1200000000000001</v>
      </c>
      <c r="G235" s="15">
        <v>0.32</v>
      </c>
      <c r="H235" s="15">
        <v>3.85</v>
      </c>
      <c r="I235" s="16">
        <f>(H235-G235)/(1.96^2)</f>
        <v>0.9188879633486049</v>
      </c>
    </row>
    <row r="236" spans="1:9" ht="15">
      <c r="A236" s="12">
        <v>2011</v>
      </c>
      <c r="B236" s="12" t="s">
        <v>175</v>
      </c>
      <c r="C236" s="14">
        <v>172</v>
      </c>
      <c r="D236" s="15">
        <v>101</v>
      </c>
      <c r="E236" s="15">
        <v>105</v>
      </c>
      <c r="F236" s="15">
        <v>0.74</v>
      </c>
      <c r="G236" s="15">
        <v>0.56999999999999995</v>
      </c>
      <c r="H236" s="15">
        <v>0.97</v>
      </c>
      <c r="I236" s="16">
        <f>(H236-G236)/(1.96^2)</f>
        <v>0.10412328196584758</v>
      </c>
    </row>
    <row r="237" spans="1:9" ht="15">
      <c r="A237" s="12">
        <v>2010</v>
      </c>
      <c r="B237" s="12" t="s">
        <v>176</v>
      </c>
      <c r="C237" s="14">
        <v>173</v>
      </c>
      <c r="D237" s="15">
        <v>118</v>
      </c>
      <c r="E237" s="15">
        <v>126</v>
      </c>
      <c r="F237" s="15">
        <v>2.6</v>
      </c>
      <c r="G237" s="15">
        <v>0.52</v>
      </c>
      <c r="H237" s="15">
        <v>13.04</v>
      </c>
      <c r="I237" s="16">
        <f>(H237-G237)/(1.96^2)</f>
        <v>3.259058725531029</v>
      </c>
    </row>
    <row r="238" spans="1:9" ht="15">
      <c r="A238" s="17"/>
      <c r="B238" s="17"/>
      <c r="C238" s="14">
        <v>173</v>
      </c>
      <c r="D238" s="15">
        <v>133</v>
      </c>
      <c r="E238" s="15">
        <v>126</v>
      </c>
      <c r="F238" s="15">
        <v>4.2</v>
      </c>
      <c r="G238" s="15">
        <v>0.7</v>
      </c>
      <c r="H238" s="15">
        <v>25.26</v>
      </c>
      <c r="I238" s="16">
        <f>(H238-G238)/(1.96^2)</f>
        <v>6.3931695127030412</v>
      </c>
    </row>
    <row r="239" spans="1:9" ht="15">
      <c r="A239" s="17"/>
      <c r="B239" s="17"/>
      <c r="C239" s="14">
        <v>173</v>
      </c>
      <c r="D239" s="15">
        <v>118</v>
      </c>
      <c r="E239" s="15">
        <v>133</v>
      </c>
      <c r="F239" s="15">
        <v>0.62</v>
      </c>
      <c r="G239" s="15">
        <v>0.09</v>
      </c>
      <c r="H239" s="15">
        <v>4.32</v>
      </c>
      <c r="I239" s="16">
        <f>(H239-G239)/(1.96^2)</f>
        <v>1.1011037067888383</v>
      </c>
    </row>
    <row r="240" spans="1:9" ht="15">
      <c r="A240" s="12">
        <v>2006</v>
      </c>
      <c r="B240" s="12" t="s">
        <v>177</v>
      </c>
      <c r="C240" s="14">
        <v>174</v>
      </c>
      <c r="D240" s="15">
        <v>23</v>
      </c>
      <c r="E240" s="15">
        <v>0</v>
      </c>
      <c r="F240" s="15">
        <v>4.04</v>
      </c>
      <c r="G240" s="15">
        <v>2.65</v>
      </c>
      <c r="H240" s="15">
        <v>6.17</v>
      </c>
      <c r="I240" s="16">
        <f>(H240-G240)/(1.96^2)</f>
        <v>0.91628488129945862</v>
      </c>
    </row>
    <row r="241" spans="1:9" ht="15">
      <c r="A241" s="12">
        <v>2010</v>
      </c>
      <c r="B241" s="12" t="s">
        <v>178</v>
      </c>
      <c r="C241" s="14">
        <v>175</v>
      </c>
      <c r="D241" s="15">
        <v>23</v>
      </c>
      <c r="E241" s="15">
        <v>1</v>
      </c>
      <c r="F241" s="15">
        <v>1.42</v>
      </c>
      <c r="G241" s="15">
        <v>1.06</v>
      </c>
      <c r="H241" s="15">
        <v>1.91</v>
      </c>
      <c r="I241" s="16">
        <f>(H241-G241)/(1.96^2)</f>
        <v>0.22126197417742605</v>
      </c>
    </row>
    <row r="242" spans="1:9" ht="15">
      <c r="A242" s="12">
        <v>2005</v>
      </c>
      <c r="B242" s="12" t="s">
        <v>179</v>
      </c>
      <c r="C242" s="14">
        <v>176</v>
      </c>
      <c r="D242" s="15">
        <v>106</v>
      </c>
      <c r="E242" s="15">
        <v>1</v>
      </c>
      <c r="F242" s="15">
        <v>2.11</v>
      </c>
      <c r="G242" s="15">
        <v>1.5</v>
      </c>
      <c r="H242" s="15">
        <v>2.98</v>
      </c>
      <c r="I242" s="16">
        <f>(H242-G242)/(1.96^2)</f>
        <v>0.385256143273636</v>
      </c>
    </row>
    <row r="243" spans="1:9" ht="15">
      <c r="A243" s="12">
        <v>2004</v>
      </c>
      <c r="B243" s="12" t="s">
        <v>180</v>
      </c>
      <c r="C243" s="14">
        <v>177</v>
      </c>
      <c r="D243" s="15">
        <v>106</v>
      </c>
      <c r="E243" s="15">
        <v>3</v>
      </c>
      <c r="F243" s="15">
        <v>6.87</v>
      </c>
      <c r="G243" s="15">
        <v>4.5</v>
      </c>
      <c r="H243" s="15">
        <v>10.48</v>
      </c>
      <c r="I243" s="16">
        <f>(H243-G243)/(1.96^2)</f>
        <v>1.5566430653894212</v>
      </c>
    </row>
    <row r="244" spans="1:9" ht="15">
      <c r="A244" s="12">
        <v>2008</v>
      </c>
      <c r="B244" s="12" t="s">
        <v>181</v>
      </c>
      <c r="C244" s="14">
        <v>178</v>
      </c>
      <c r="D244" s="15">
        <v>130</v>
      </c>
      <c r="E244" s="15">
        <v>1</v>
      </c>
      <c r="F244" s="15">
        <v>4.5599999999999996</v>
      </c>
      <c r="G244" s="15">
        <v>2.1</v>
      </c>
      <c r="H244" s="15">
        <v>9.92</v>
      </c>
      <c r="I244" s="16">
        <f>(H244-G244)/(1.96^2)</f>
        <v>2.0356101624323202</v>
      </c>
    </row>
    <row r="245" spans="1:9" ht="15">
      <c r="A245" s="12">
        <v>2009</v>
      </c>
      <c r="B245" s="12" t="s">
        <v>182</v>
      </c>
      <c r="C245" s="14">
        <v>179</v>
      </c>
      <c r="D245" s="15">
        <v>121</v>
      </c>
      <c r="E245" s="15">
        <v>7</v>
      </c>
      <c r="F245" s="15">
        <v>3.01</v>
      </c>
      <c r="G245" s="15">
        <v>1.81</v>
      </c>
      <c r="H245" s="15">
        <v>5.0199999999999996</v>
      </c>
      <c r="I245" s="16">
        <f>(H245-G245)/(1.96^2)</f>
        <v>0.83558933777592659</v>
      </c>
    </row>
    <row r="246" spans="1:9" ht="15">
      <c r="A246" s="12">
        <v>2005</v>
      </c>
      <c r="B246" s="12" t="s">
        <v>183</v>
      </c>
      <c r="C246" s="14">
        <v>180</v>
      </c>
      <c r="D246" s="15">
        <v>106</v>
      </c>
      <c r="E246" s="15">
        <v>105</v>
      </c>
      <c r="F246" s="15">
        <v>1.1000000000000001</v>
      </c>
      <c r="G246" s="15">
        <v>0.74</v>
      </c>
      <c r="H246" s="15">
        <v>1.62</v>
      </c>
      <c r="I246" s="16">
        <f>(H246-G246)/(1.96^2)</f>
        <v>0.22907122032486468</v>
      </c>
    </row>
    <row r="247" spans="1:9" ht="15">
      <c r="A247" s="12">
        <v>2009</v>
      </c>
      <c r="B247" s="12" t="s">
        <v>184</v>
      </c>
      <c r="C247" s="14">
        <v>181</v>
      </c>
      <c r="D247" s="15">
        <v>129</v>
      </c>
      <c r="E247" s="15">
        <v>127</v>
      </c>
      <c r="F247" s="15">
        <v>13.7</v>
      </c>
      <c r="G247" s="15">
        <v>5.63</v>
      </c>
      <c r="H247" s="15">
        <v>33.340000000000003</v>
      </c>
      <c r="I247" s="16">
        <f>(H247-G247)/(1.96^2)</f>
        <v>7.2131403581840914</v>
      </c>
    </row>
    <row r="248" spans="1:9" ht="15">
      <c r="A248" s="12">
        <v>2001</v>
      </c>
      <c r="B248" s="12" t="s">
        <v>185</v>
      </c>
      <c r="C248" s="14">
        <v>182</v>
      </c>
      <c r="D248" s="15">
        <v>122</v>
      </c>
      <c r="E248" s="15">
        <v>1</v>
      </c>
      <c r="F248" s="15">
        <v>2.11</v>
      </c>
      <c r="G248" s="15">
        <v>1.1100000000000001</v>
      </c>
      <c r="H248" s="15">
        <v>4.0199999999999996</v>
      </c>
      <c r="I248" s="16">
        <f>(H248-G248)/(1.96^2)</f>
        <v>0.75749687630154094</v>
      </c>
    </row>
    <row r="249" spans="1:9" ht="15">
      <c r="A249" s="12">
        <v>2007</v>
      </c>
      <c r="B249" s="12" t="s">
        <v>186</v>
      </c>
      <c r="C249" s="14">
        <v>183</v>
      </c>
      <c r="D249" s="15">
        <v>105</v>
      </c>
      <c r="E249" s="15">
        <v>1</v>
      </c>
      <c r="F249" s="15">
        <v>1.76</v>
      </c>
      <c r="G249" s="15">
        <v>0.28000000000000003</v>
      </c>
      <c r="H249" s="15">
        <v>11.04</v>
      </c>
      <c r="I249" s="16">
        <f>(H249-G249)/(1.96^2)</f>
        <v>2.8009162848812998</v>
      </c>
    </row>
    <row r="250" spans="1:9" ht="15">
      <c r="A250" s="17"/>
      <c r="B250" s="17"/>
      <c r="C250" s="14">
        <v>183</v>
      </c>
      <c r="D250" s="15">
        <v>105</v>
      </c>
      <c r="E250" s="15">
        <v>7</v>
      </c>
      <c r="F250" s="15">
        <v>5</v>
      </c>
      <c r="G250" s="15">
        <v>0.52</v>
      </c>
      <c r="H250" s="15">
        <v>47.73</v>
      </c>
      <c r="I250" s="16">
        <f>(H250-G250)/(1.96^2)</f>
        <v>12.289150354019158</v>
      </c>
    </row>
    <row r="251" spans="1:9" ht="15">
      <c r="A251" s="17"/>
      <c r="B251" s="17"/>
      <c r="C251" s="14">
        <v>183</v>
      </c>
      <c r="D251" s="15">
        <v>1</v>
      </c>
      <c r="E251" s="15">
        <v>7</v>
      </c>
      <c r="F251" s="15">
        <v>2.13</v>
      </c>
      <c r="G251" s="15">
        <v>0.17</v>
      </c>
      <c r="H251" s="15">
        <v>26.03</v>
      </c>
      <c r="I251" s="16">
        <f>(H251-G251)/(1.96^2)</f>
        <v>6.7315701790920457</v>
      </c>
    </row>
    <row r="252" spans="1:9" ht="15">
      <c r="A252" s="12">
        <v>2009</v>
      </c>
      <c r="B252" s="12" t="s">
        <v>187</v>
      </c>
      <c r="C252" s="14">
        <v>184</v>
      </c>
      <c r="D252" s="15">
        <v>11</v>
      </c>
      <c r="E252" s="15">
        <v>10</v>
      </c>
      <c r="F252" s="15">
        <v>2.98</v>
      </c>
      <c r="G252" s="15">
        <v>0.87</v>
      </c>
      <c r="H252" s="15">
        <v>10.17</v>
      </c>
      <c r="I252" s="16">
        <f>(H252-G252)/(1.96^2)</f>
        <v>2.4208663057059563</v>
      </c>
    </row>
    <row r="253" spans="1:9" ht="15">
      <c r="A253" s="12">
        <v>2008</v>
      </c>
      <c r="B253" s="12" t="s">
        <v>188</v>
      </c>
      <c r="C253" s="14">
        <v>185</v>
      </c>
      <c r="D253" s="15">
        <v>106</v>
      </c>
      <c r="E253" s="15">
        <v>10</v>
      </c>
      <c r="F253" s="15">
        <v>2.98</v>
      </c>
      <c r="G253" s="15">
        <v>2</v>
      </c>
      <c r="H253" s="15">
        <v>4.4400000000000004</v>
      </c>
      <c r="I253" s="16">
        <f>(H253-G253)/(1.96^2)</f>
        <v>0.63515201999167026</v>
      </c>
    </row>
    <row r="254" spans="1:9" ht="15">
      <c r="A254" s="17"/>
      <c r="B254" s="17"/>
      <c r="C254" s="14">
        <v>185</v>
      </c>
      <c r="D254" s="15">
        <v>106</v>
      </c>
      <c r="E254" s="15">
        <v>6</v>
      </c>
      <c r="F254" s="15">
        <v>3.13</v>
      </c>
      <c r="G254" s="15">
        <v>2.09</v>
      </c>
      <c r="H254" s="15">
        <v>4.6900000000000004</v>
      </c>
      <c r="I254" s="16">
        <f>(H254-G254)/(1.96^2)</f>
        <v>0.67680133277800936</v>
      </c>
    </row>
    <row r="255" spans="1:9" ht="15">
      <c r="A255" s="17"/>
      <c r="B255" s="17"/>
      <c r="C255" s="14">
        <v>185</v>
      </c>
      <c r="D255" s="15">
        <v>10</v>
      </c>
      <c r="E255" s="15">
        <v>6</v>
      </c>
      <c r="F255" s="15">
        <v>0.89</v>
      </c>
      <c r="G255" s="15">
        <v>0.61</v>
      </c>
      <c r="H255" s="15">
        <v>1.29</v>
      </c>
      <c r="I255" s="16">
        <f>(H255-G255)/(1.96^2)</f>
        <v>0.17700957934194089</v>
      </c>
    </row>
    <row r="256" spans="1:9" ht="15">
      <c r="A256" s="12">
        <v>2008</v>
      </c>
      <c r="B256" s="12" t="s">
        <v>189</v>
      </c>
      <c r="C256" s="14">
        <v>186</v>
      </c>
      <c r="D256" s="15">
        <v>127</v>
      </c>
      <c r="E256" s="15">
        <v>126</v>
      </c>
      <c r="F256" s="15">
        <v>5.5</v>
      </c>
      <c r="G256" s="15">
        <v>0.51</v>
      </c>
      <c r="H256" s="15">
        <v>59.02</v>
      </c>
      <c r="I256" s="16">
        <f>(H256-G256)/(1.96^2)</f>
        <v>15.230633069554354</v>
      </c>
    </row>
    <row r="257" spans="1:9" ht="15">
      <c r="A257" s="12">
        <v>2004</v>
      </c>
      <c r="B257" s="12" t="s">
        <v>190</v>
      </c>
      <c r="C257" s="14">
        <v>187</v>
      </c>
      <c r="D257" s="15">
        <v>119</v>
      </c>
      <c r="E257" s="15">
        <v>105</v>
      </c>
      <c r="F257" s="15">
        <v>4.72</v>
      </c>
      <c r="G257" s="15">
        <v>2.8</v>
      </c>
      <c r="H257" s="15">
        <v>7.96</v>
      </c>
      <c r="I257" s="16">
        <f>(H257-G257)/(1.96^2)</f>
        <v>1.3431903373594338</v>
      </c>
    </row>
    <row r="258" spans="1:9" ht="15">
      <c r="A258" s="12">
        <v>2007</v>
      </c>
      <c r="B258" s="12" t="s">
        <v>191</v>
      </c>
      <c r="C258" s="14">
        <v>188</v>
      </c>
      <c r="D258" s="15">
        <v>106</v>
      </c>
      <c r="E258" s="15">
        <v>7</v>
      </c>
      <c r="F258" s="15">
        <v>10.76</v>
      </c>
      <c r="G258" s="15">
        <v>3.16</v>
      </c>
      <c r="H258" s="15">
        <v>36.69</v>
      </c>
      <c r="I258" s="16">
        <f>(H258-G258)/(1.96^2)</f>
        <v>8.7281341107871722</v>
      </c>
    </row>
    <row r="259" spans="1:9" ht="15">
      <c r="A259" s="12">
        <v>2008</v>
      </c>
      <c r="B259" s="12" t="s">
        <v>192</v>
      </c>
      <c r="C259" s="14">
        <v>189</v>
      </c>
      <c r="D259" s="15">
        <v>5</v>
      </c>
      <c r="E259" s="15">
        <v>10</v>
      </c>
      <c r="F259" s="15">
        <v>3.67</v>
      </c>
      <c r="G259" s="15">
        <v>1.69</v>
      </c>
      <c r="H259" s="15">
        <v>7.94</v>
      </c>
      <c r="I259" s="16">
        <f>(H259-G259)/(1.96^2)</f>
        <v>1.6269262807163682</v>
      </c>
    </row>
    <row r="260" spans="1:9" ht="15">
      <c r="A260" s="12">
        <v>2008</v>
      </c>
      <c r="B260" s="12" t="s">
        <v>193</v>
      </c>
      <c r="C260" s="14">
        <v>190</v>
      </c>
      <c r="D260" s="15">
        <v>35</v>
      </c>
      <c r="E260" s="15">
        <v>0</v>
      </c>
      <c r="F260" s="15">
        <v>3.99</v>
      </c>
      <c r="G260" s="15">
        <v>2.0299999999999998</v>
      </c>
      <c r="H260" s="15">
        <v>7.81</v>
      </c>
      <c r="I260" s="16">
        <f>(H260-G260)/(1.96^2)</f>
        <v>1.5045814244064972</v>
      </c>
    </row>
    <row r="261" spans="1:9" ht="15">
      <c r="A261" s="12">
        <v>2011</v>
      </c>
      <c r="B261" s="12" t="s">
        <v>194</v>
      </c>
      <c r="C261" s="14">
        <v>191</v>
      </c>
      <c r="D261" s="15">
        <v>31</v>
      </c>
      <c r="E261" s="15">
        <v>0</v>
      </c>
      <c r="F261" s="15">
        <v>2.57</v>
      </c>
      <c r="G261" s="15">
        <v>1.46</v>
      </c>
      <c r="H261" s="15">
        <v>4.54</v>
      </c>
      <c r="I261" s="16">
        <f>(H261-G261)/(1.96^2)</f>
        <v>0.80174927113702632</v>
      </c>
    </row>
    <row r="262" spans="1:9" ht="15">
      <c r="A262" s="12">
        <v>2010</v>
      </c>
      <c r="B262" s="12" t="s">
        <v>195</v>
      </c>
      <c r="C262" s="14">
        <v>192</v>
      </c>
      <c r="D262" s="15">
        <v>9</v>
      </c>
      <c r="E262" s="15">
        <v>5</v>
      </c>
      <c r="F262" s="15">
        <v>1.72</v>
      </c>
      <c r="G262" s="15">
        <v>1.17</v>
      </c>
      <c r="H262" s="15">
        <v>2.5099999999999998</v>
      </c>
      <c r="I262" s="16">
        <f>(H262-G262)/(1.96^2)</f>
        <v>0.34881299458558934</v>
      </c>
    </row>
    <row r="263" spans="1:9" ht="15">
      <c r="A263" s="12">
        <v>2009</v>
      </c>
      <c r="B263" s="12" t="s">
        <v>196</v>
      </c>
      <c r="C263" s="14">
        <v>193</v>
      </c>
      <c r="D263" s="15">
        <v>126</v>
      </c>
      <c r="E263" s="15">
        <v>5</v>
      </c>
      <c r="F263" s="15">
        <v>11</v>
      </c>
      <c r="G263" s="15">
        <v>1.1000000000000001</v>
      </c>
      <c r="H263" s="15">
        <v>109.68</v>
      </c>
      <c r="I263" s="16">
        <f>(H263-G263)/(1.96^2)</f>
        <v>28.264264889629327</v>
      </c>
    </row>
    <row r="264" spans="1:9" ht="15">
      <c r="A264" s="12">
        <v>2009</v>
      </c>
      <c r="B264" s="12" t="s">
        <v>197</v>
      </c>
      <c r="C264" s="14">
        <v>194</v>
      </c>
      <c r="D264" s="15">
        <v>17</v>
      </c>
      <c r="E264" s="15">
        <v>9</v>
      </c>
      <c r="F264" s="15">
        <v>1.57</v>
      </c>
      <c r="G264" s="15">
        <v>1.05</v>
      </c>
      <c r="H264" s="15">
        <v>2.34</v>
      </c>
      <c r="I264" s="16">
        <f>(H264-G264)/(1.96^2)</f>
        <v>0.33579758433985835</v>
      </c>
    </row>
    <row r="265" spans="1:9" ht="15">
      <c r="A265" s="12">
        <v>2005</v>
      </c>
      <c r="B265" s="12" t="s">
        <v>198</v>
      </c>
      <c r="C265" s="14">
        <v>194</v>
      </c>
      <c r="D265" s="15">
        <v>57</v>
      </c>
      <c r="E265" s="15">
        <v>0</v>
      </c>
      <c r="F265" s="15">
        <v>5.86</v>
      </c>
      <c r="G265" s="15">
        <v>3.31</v>
      </c>
      <c r="H265" s="15">
        <v>10.35</v>
      </c>
      <c r="I265" s="16">
        <f>(H265-G265)/(1.96^2)</f>
        <v>1.832569762598917</v>
      </c>
    </row>
    <row r="266" spans="1:9" ht="15">
      <c r="A266" s="12">
        <v>2004</v>
      </c>
      <c r="B266" s="15" t="s">
        <v>199</v>
      </c>
      <c r="C266" s="14">
        <v>196</v>
      </c>
      <c r="D266" s="15">
        <v>9</v>
      </c>
      <c r="E266" s="15">
        <v>0</v>
      </c>
      <c r="F266" s="15">
        <v>5.9</v>
      </c>
      <c r="G266" s="15">
        <v>2.72</v>
      </c>
      <c r="H266" s="15">
        <v>12.79</v>
      </c>
      <c r="I266" s="16">
        <f>(H266-G266)/(1.96^2)</f>
        <v>2.6213036234902121</v>
      </c>
    </row>
    <row r="267" spans="1:9" ht="15">
      <c r="A267" s="12">
        <v>2009</v>
      </c>
      <c r="B267" s="12" t="s">
        <v>200</v>
      </c>
      <c r="C267" s="14">
        <v>197</v>
      </c>
      <c r="D267" s="15">
        <v>101</v>
      </c>
      <c r="E267" s="15">
        <v>14</v>
      </c>
      <c r="F267" s="15">
        <v>1.86</v>
      </c>
      <c r="G267" s="15">
        <v>1.33</v>
      </c>
      <c r="H267" s="15">
        <v>2.61</v>
      </c>
      <c r="I267" s="16">
        <f>(H267-G267)/(1.96^2)</f>
        <v>0.33319450229071218</v>
      </c>
    </row>
    <row r="268" spans="1:9" ht="15">
      <c r="A268" s="17"/>
      <c r="B268" s="17"/>
      <c r="C268" s="14">
        <v>197</v>
      </c>
      <c r="D268" s="15">
        <v>101</v>
      </c>
      <c r="E268" s="15">
        <v>1</v>
      </c>
      <c r="F268" s="15">
        <v>2.46</v>
      </c>
      <c r="G268" s="15">
        <v>1.75</v>
      </c>
      <c r="H268" s="15">
        <v>3.45</v>
      </c>
      <c r="I268" s="16">
        <f>(H268-G268)/(1.96^2)</f>
        <v>0.4425239483548522</v>
      </c>
    </row>
    <row r="269" spans="1:9" ht="15">
      <c r="A269" s="17"/>
      <c r="B269" s="17"/>
      <c r="C269" s="14">
        <v>197</v>
      </c>
      <c r="D269" s="15">
        <v>14</v>
      </c>
      <c r="E269" s="15">
        <v>1</v>
      </c>
      <c r="F269" s="15">
        <v>0.87</v>
      </c>
      <c r="G269" s="15">
        <v>0.62</v>
      </c>
      <c r="H269" s="15">
        <v>1.21</v>
      </c>
      <c r="I269" s="16">
        <f>(H269-G269)/(1.96^2)</f>
        <v>0.15358184089962515</v>
      </c>
    </row>
    <row r="270" spans="1:9" ht="15">
      <c r="A270" s="12">
        <v>2011</v>
      </c>
      <c r="B270" s="12" t="s">
        <v>201</v>
      </c>
      <c r="C270" s="14">
        <v>198</v>
      </c>
      <c r="D270" s="15">
        <v>106</v>
      </c>
      <c r="E270" s="15">
        <v>1</v>
      </c>
      <c r="F270" s="15">
        <v>2.04</v>
      </c>
      <c r="G270" s="15">
        <v>1.49</v>
      </c>
      <c r="H270" s="15">
        <v>2.79</v>
      </c>
      <c r="I270" s="16">
        <f>(H270-G270)/(1.96^2)</f>
        <v>0.33840066638900462</v>
      </c>
    </row>
    <row r="271" spans="1:9" ht="15">
      <c r="A271" s="12">
        <v>2009</v>
      </c>
      <c r="B271" s="12" t="s">
        <v>202</v>
      </c>
      <c r="C271" s="14">
        <v>199</v>
      </c>
      <c r="D271" s="15">
        <v>118</v>
      </c>
      <c r="E271" s="15">
        <v>105</v>
      </c>
      <c r="F271" s="15">
        <v>3.2</v>
      </c>
      <c r="G271" s="15">
        <v>1.81</v>
      </c>
      <c r="H271" s="15">
        <v>5.67</v>
      </c>
      <c r="I271" s="16">
        <f>(H271-G271)/(1.96^2)</f>
        <v>1.0047896709704291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1"/>
  <sheetViews>
    <sheetView zoomScaleNormal="100" workbookViewId="0" xr3:uid="{958C4451-9541-5A59-BF78-D2F731DF1C81}"/>
  </sheetViews>
  <sheetFormatPr defaultRowHeight="15"/>
  <cols>
    <col min="1" max="1025" width="10.7109375" customWidth="1"/>
  </cols>
  <sheetData>
    <row r="1" spans="1:6" ht="51">
      <c r="A1" s="6"/>
      <c r="B1" s="7" t="s">
        <v>203</v>
      </c>
      <c r="C1" s="8" t="s">
        <v>204</v>
      </c>
      <c r="D1" s="9" t="s">
        <v>205</v>
      </c>
      <c r="E1" s="10"/>
      <c r="F1" s="11"/>
    </row>
    <row r="2" spans="1:6">
      <c r="A2" s="15"/>
      <c r="B2" s="17"/>
      <c r="C2" s="18" t="s">
        <v>206</v>
      </c>
      <c r="D2" s="17">
        <v>0</v>
      </c>
      <c r="E2" s="19" t="s">
        <v>207</v>
      </c>
      <c r="F2" s="17"/>
    </row>
    <row r="3" spans="1:6">
      <c r="A3" s="15"/>
      <c r="B3" s="17"/>
      <c r="C3" s="20"/>
      <c r="D3" s="21">
        <v>1</v>
      </c>
      <c r="E3" s="19" t="s">
        <v>208</v>
      </c>
      <c r="F3" s="17"/>
    </row>
    <row r="4" spans="1:6">
      <c r="A4" s="15"/>
      <c r="B4" s="17"/>
      <c r="C4" s="20"/>
      <c r="D4" s="22">
        <v>2</v>
      </c>
      <c r="E4" s="19" t="s">
        <v>209</v>
      </c>
      <c r="F4" s="17"/>
    </row>
    <row r="5" spans="1:6">
      <c r="A5" s="17" t="s">
        <v>210</v>
      </c>
      <c r="B5" s="17"/>
      <c r="C5" s="20"/>
      <c r="D5" s="22">
        <v>3</v>
      </c>
      <c r="E5" s="19" t="s">
        <v>211</v>
      </c>
      <c r="F5" s="17"/>
    </row>
    <row r="6" spans="1:6">
      <c r="A6" s="15"/>
      <c r="B6" s="17"/>
      <c r="C6" s="20"/>
      <c r="D6" s="22">
        <v>4</v>
      </c>
      <c r="E6" s="19" t="s">
        <v>212</v>
      </c>
      <c r="F6" s="17"/>
    </row>
    <row r="7" spans="1:6">
      <c r="A7" s="15"/>
      <c r="B7" s="17"/>
      <c r="C7" s="20"/>
      <c r="D7" s="22">
        <v>5</v>
      </c>
      <c r="E7" s="19" t="s">
        <v>213</v>
      </c>
      <c r="F7" s="17"/>
    </row>
    <row r="8" spans="1:6">
      <c r="A8" s="17"/>
      <c r="B8" s="17"/>
      <c r="C8" s="20"/>
      <c r="D8" s="22">
        <v>6</v>
      </c>
      <c r="E8" s="19" t="s">
        <v>214</v>
      </c>
      <c r="F8" s="17"/>
    </row>
    <row r="9" spans="1:6">
      <c r="A9" s="17"/>
      <c r="B9" s="17"/>
      <c r="C9" s="24"/>
      <c r="D9" s="25">
        <v>7</v>
      </c>
      <c r="E9" s="19" t="s">
        <v>215</v>
      </c>
      <c r="F9" s="17"/>
    </row>
    <row r="10" spans="1:6">
      <c r="A10" s="15"/>
      <c r="B10" s="17"/>
      <c r="C10" s="17"/>
      <c r="D10" s="22">
        <v>8</v>
      </c>
      <c r="E10" s="19" t="s">
        <v>216</v>
      </c>
      <c r="F10" s="17"/>
    </row>
    <row r="11" spans="1:6">
      <c r="A11" s="15"/>
      <c r="B11" s="17"/>
      <c r="C11" s="17"/>
      <c r="D11" s="22">
        <v>9</v>
      </c>
      <c r="E11" s="19" t="s">
        <v>217</v>
      </c>
      <c r="F11" s="17"/>
    </row>
    <row r="12" spans="1:6">
      <c r="A12" s="15"/>
      <c r="B12" s="17"/>
      <c r="C12" s="7"/>
      <c r="D12" s="7">
        <v>10</v>
      </c>
      <c r="E12" s="19" t="s">
        <v>218</v>
      </c>
      <c r="F12" s="17"/>
    </row>
    <row r="13" spans="1:6">
      <c r="A13" s="15"/>
      <c r="B13" s="17"/>
      <c r="C13" s="17"/>
      <c r="D13" s="22">
        <v>11</v>
      </c>
      <c r="E13" s="19" t="s">
        <v>219</v>
      </c>
      <c r="F13" s="17"/>
    </row>
    <row r="14" spans="1:6">
      <c r="A14" s="15"/>
      <c r="B14" s="17"/>
      <c r="C14" s="17"/>
      <c r="D14" s="22">
        <v>12</v>
      </c>
      <c r="E14" s="19" t="s">
        <v>220</v>
      </c>
      <c r="F14" s="17"/>
    </row>
    <row r="15" spans="1:6">
      <c r="A15" s="15"/>
      <c r="B15" s="17"/>
      <c r="C15" s="17"/>
      <c r="D15" s="22">
        <v>13</v>
      </c>
      <c r="E15" s="19" t="s">
        <v>221</v>
      </c>
      <c r="F15" s="17"/>
    </row>
    <row r="16" spans="1:6">
      <c r="A16" s="15"/>
      <c r="B16" s="17"/>
      <c r="C16" s="17"/>
      <c r="D16" s="22">
        <v>14</v>
      </c>
      <c r="E16" s="19" t="s">
        <v>222</v>
      </c>
      <c r="F16" s="17"/>
    </row>
    <row r="17" spans="1:5">
      <c r="A17" s="15"/>
      <c r="B17" s="17"/>
      <c r="C17" s="17"/>
      <c r="D17" s="22">
        <v>15</v>
      </c>
      <c r="E17" s="19" t="s">
        <v>223</v>
      </c>
    </row>
    <row r="18" spans="1:5">
      <c r="A18" s="17"/>
      <c r="B18" s="17"/>
      <c r="C18" s="17"/>
      <c r="D18" s="22">
        <v>16</v>
      </c>
      <c r="E18" s="19" t="s">
        <v>224</v>
      </c>
    </row>
    <row r="19" spans="1:5">
      <c r="A19" s="17"/>
      <c r="B19" s="17"/>
      <c r="C19" s="17"/>
      <c r="D19" s="22">
        <v>17</v>
      </c>
      <c r="E19" s="19" t="s">
        <v>225</v>
      </c>
    </row>
    <row r="20" spans="1:5">
      <c r="A20" s="15"/>
      <c r="B20" s="17"/>
      <c r="C20" s="17"/>
      <c r="D20" s="22">
        <v>18</v>
      </c>
      <c r="E20" s="19" t="s">
        <v>226</v>
      </c>
    </row>
    <row r="21" spans="1:5">
      <c r="A21" s="15"/>
      <c r="B21" s="17"/>
      <c r="C21" s="17"/>
      <c r="D21" s="22">
        <v>19</v>
      </c>
      <c r="E21" s="19" t="s">
        <v>227</v>
      </c>
    </row>
    <row r="22" spans="1:5">
      <c r="A22" s="17"/>
      <c r="B22" s="17"/>
      <c r="C22" s="17"/>
      <c r="D22" s="22">
        <v>20</v>
      </c>
      <c r="E22" s="19" t="s">
        <v>228</v>
      </c>
    </row>
    <row r="23" spans="1:5">
      <c r="A23" s="17"/>
      <c r="B23" s="17"/>
      <c r="C23" s="17"/>
      <c r="D23" s="22">
        <v>21</v>
      </c>
      <c r="E23" s="19" t="s">
        <v>229</v>
      </c>
    </row>
    <row r="24" spans="1:5">
      <c r="A24" s="15"/>
      <c r="B24" s="17"/>
      <c r="C24" s="17"/>
      <c r="D24" s="22">
        <v>22</v>
      </c>
      <c r="E24" s="19" t="s">
        <v>230</v>
      </c>
    </row>
    <row r="25" spans="1:5">
      <c r="A25" s="15"/>
      <c r="B25" s="17"/>
      <c r="C25" s="17"/>
      <c r="D25" s="22">
        <v>23</v>
      </c>
      <c r="E25" s="19" t="s">
        <v>231</v>
      </c>
    </row>
    <row r="26" spans="1:5">
      <c r="A26" s="15"/>
      <c r="B26" s="17"/>
      <c r="C26" s="17"/>
      <c r="D26" s="22">
        <v>24</v>
      </c>
      <c r="E26" s="19" t="s">
        <v>232</v>
      </c>
    </row>
    <row r="27" spans="1:5">
      <c r="A27" s="15"/>
      <c r="B27" s="17"/>
      <c r="C27" s="17"/>
      <c r="D27" s="22">
        <v>25</v>
      </c>
      <c r="E27" s="19" t="s">
        <v>233</v>
      </c>
    </row>
    <row r="28" spans="1:5">
      <c r="A28" s="15"/>
      <c r="B28" s="17"/>
      <c r="C28" s="17"/>
      <c r="D28" s="22">
        <v>26</v>
      </c>
      <c r="E28" s="19" t="s">
        <v>234</v>
      </c>
    </row>
    <row r="29" spans="1:5">
      <c r="A29" s="15"/>
      <c r="B29" s="17"/>
      <c r="C29" s="17"/>
      <c r="D29" s="22">
        <v>27</v>
      </c>
      <c r="E29" s="19" t="s">
        <v>235</v>
      </c>
    </row>
    <row r="30" spans="1:5">
      <c r="A30" s="15"/>
      <c r="B30" s="17"/>
      <c r="C30" s="17"/>
      <c r="D30" s="22">
        <v>28</v>
      </c>
      <c r="E30" s="19" t="s">
        <v>236</v>
      </c>
    </row>
    <row r="31" spans="1:5">
      <c r="A31" s="15"/>
      <c r="B31" s="17"/>
      <c r="C31" s="17"/>
      <c r="D31" s="22">
        <v>29</v>
      </c>
      <c r="E31" s="19" t="s">
        <v>237</v>
      </c>
    </row>
    <row r="32" spans="1:5">
      <c r="A32" s="15"/>
      <c r="B32" s="17"/>
      <c r="C32" s="17"/>
      <c r="D32" s="22">
        <v>30</v>
      </c>
      <c r="E32" s="19" t="s">
        <v>238</v>
      </c>
    </row>
    <row r="33" spans="1:5">
      <c r="A33" s="17"/>
      <c r="B33" s="17"/>
      <c r="C33" s="17"/>
      <c r="D33" s="22">
        <v>31</v>
      </c>
      <c r="E33" s="19" t="s">
        <v>239</v>
      </c>
    </row>
    <row r="34" spans="1:5">
      <c r="A34" s="17"/>
      <c r="B34" s="17"/>
      <c r="C34" s="17"/>
      <c r="D34" s="22">
        <v>32</v>
      </c>
      <c r="E34" s="19" t="s">
        <v>240</v>
      </c>
    </row>
    <row r="35" spans="1:5">
      <c r="A35" s="17"/>
      <c r="B35" s="17"/>
      <c r="C35" s="17"/>
      <c r="D35" s="22">
        <v>33</v>
      </c>
      <c r="E35" s="19" t="s">
        <v>241</v>
      </c>
    </row>
    <row r="36" spans="1:5">
      <c r="A36" s="17"/>
      <c r="B36" s="17"/>
      <c r="C36" s="17"/>
      <c r="D36" s="22">
        <v>34</v>
      </c>
      <c r="E36" s="19" t="s">
        <v>242</v>
      </c>
    </row>
    <row r="37" spans="1:5">
      <c r="A37" s="15"/>
      <c r="B37" s="17"/>
      <c r="C37" s="17"/>
      <c r="D37" s="22">
        <v>35</v>
      </c>
      <c r="E37" s="19" t="s">
        <v>243</v>
      </c>
    </row>
    <row r="38" spans="1:5">
      <c r="A38" s="15"/>
      <c r="B38" s="17"/>
      <c r="C38" s="17"/>
      <c r="D38" s="22">
        <v>36</v>
      </c>
      <c r="E38" s="19" t="s">
        <v>244</v>
      </c>
    </row>
    <row r="39" spans="1:5">
      <c r="A39" s="15"/>
      <c r="B39" s="17"/>
      <c r="C39" s="17"/>
      <c r="D39" s="22">
        <v>37</v>
      </c>
      <c r="E39" s="19" t="s">
        <v>245</v>
      </c>
    </row>
    <row r="40" spans="1:5">
      <c r="A40" s="17"/>
      <c r="B40" s="17"/>
      <c r="C40" s="17"/>
      <c r="D40" s="22">
        <v>38</v>
      </c>
      <c r="E40" s="19" t="s">
        <v>246</v>
      </c>
    </row>
    <row r="41" spans="1:5">
      <c r="A41" s="15"/>
      <c r="B41" s="17"/>
      <c r="C41" s="17"/>
      <c r="D41" s="22">
        <v>39</v>
      </c>
      <c r="E41" s="19" t="s">
        <v>247</v>
      </c>
    </row>
    <row r="42" spans="1:5">
      <c r="A42" s="15"/>
      <c r="B42" s="17"/>
      <c r="C42" s="17"/>
      <c r="D42" s="22">
        <v>40</v>
      </c>
      <c r="E42" s="19" t="s">
        <v>248</v>
      </c>
    </row>
    <row r="43" spans="1:5">
      <c r="A43" s="15"/>
      <c r="B43" s="17"/>
      <c r="C43" s="17"/>
      <c r="D43" s="22">
        <v>41</v>
      </c>
      <c r="E43" s="27" t="s">
        <v>249</v>
      </c>
    </row>
    <row r="44" spans="1:5">
      <c r="A44" s="15"/>
      <c r="B44" s="17"/>
      <c r="C44" s="17"/>
      <c r="D44" s="22">
        <v>42</v>
      </c>
      <c r="E44" s="19" t="s">
        <v>250</v>
      </c>
    </row>
    <row r="45" spans="1:5">
      <c r="A45" s="15"/>
      <c r="B45" s="17"/>
      <c r="C45" s="17"/>
      <c r="D45" s="22">
        <v>43</v>
      </c>
      <c r="E45" s="19" t="s">
        <v>251</v>
      </c>
    </row>
    <row r="46" spans="1:5">
      <c r="A46" s="15"/>
      <c r="B46" s="17"/>
      <c r="C46" s="17"/>
      <c r="D46" s="22">
        <v>44</v>
      </c>
      <c r="E46" s="19" t="s">
        <v>252</v>
      </c>
    </row>
    <row r="47" spans="1:5">
      <c r="A47" s="15"/>
      <c r="B47" s="17"/>
      <c r="C47" s="17"/>
      <c r="D47" s="22">
        <v>45</v>
      </c>
      <c r="E47" s="19" t="s">
        <v>253</v>
      </c>
    </row>
    <row r="48" spans="1:5">
      <c r="A48" s="17"/>
      <c r="B48" s="17"/>
      <c r="C48" s="17"/>
      <c r="D48" s="22">
        <v>46</v>
      </c>
      <c r="E48" s="19" t="s">
        <v>254</v>
      </c>
    </row>
    <row r="49" spans="1:5">
      <c r="A49" s="17"/>
      <c r="B49" s="17"/>
      <c r="C49" s="17"/>
      <c r="D49" s="22">
        <v>47</v>
      </c>
      <c r="E49" s="19" t="s">
        <v>255</v>
      </c>
    </row>
    <row r="50" spans="1:5">
      <c r="A50" s="15"/>
      <c r="B50" s="17"/>
      <c r="C50" s="17"/>
      <c r="D50" s="22">
        <v>48</v>
      </c>
      <c r="E50" s="19" t="s">
        <v>256</v>
      </c>
    </row>
    <row r="51" spans="1:5">
      <c r="A51" s="17"/>
      <c r="B51" s="17"/>
      <c r="C51" s="17"/>
      <c r="D51" s="22">
        <v>49</v>
      </c>
      <c r="E51" s="19" t="s">
        <v>257</v>
      </c>
    </row>
    <row r="52" spans="1:5">
      <c r="A52" s="17"/>
      <c r="B52" s="17"/>
      <c r="C52" s="17"/>
      <c r="D52" s="22">
        <v>50</v>
      </c>
      <c r="E52" s="19" t="s">
        <v>258</v>
      </c>
    </row>
    <row r="53" spans="1:5">
      <c r="A53" s="15"/>
      <c r="B53" s="17"/>
      <c r="C53" s="17"/>
      <c r="D53" s="22">
        <v>51</v>
      </c>
      <c r="E53" s="19" t="s">
        <v>259</v>
      </c>
    </row>
    <row r="54" spans="1:5">
      <c r="A54" s="17"/>
      <c r="B54" s="17"/>
      <c r="C54" s="17"/>
      <c r="D54" s="22">
        <v>52</v>
      </c>
      <c r="E54" s="19" t="s">
        <v>260</v>
      </c>
    </row>
    <row r="55" spans="1:5">
      <c r="A55" s="17"/>
      <c r="B55" s="17"/>
      <c r="C55" s="17"/>
      <c r="D55" s="22">
        <v>53</v>
      </c>
      <c r="E55" s="19" t="s">
        <v>261</v>
      </c>
    </row>
    <row r="56" spans="1:5">
      <c r="A56" s="15"/>
      <c r="B56" s="17"/>
      <c r="C56" s="17"/>
      <c r="D56" s="22">
        <v>54</v>
      </c>
      <c r="E56" s="19" t="s">
        <v>262</v>
      </c>
    </row>
    <row r="57" spans="1:5">
      <c r="A57" s="15"/>
      <c r="B57" s="17"/>
      <c r="C57" s="17"/>
      <c r="D57" s="22">
        <v>55</v>
      </c>
      <c r="E57" s="19" t="s">
        <v>263</v>
      </c>
    </row>
    <row r="58" spans="1:5">
      <c r="A58" s="15"/>
      <c r="B58" s="17"/>
      <c r="C58" s="17"/>
      <c r="D58" s="22">
        <v>56</v>
      </c>
      <c r="E58" s="19" t="s">
        <v>264</v>
      </c>
    </row>
    <row r="59" spans="1:5">
      <c r="A59" s="15"/>
      <c r="B59" s="17"/>
      <c r="C59" s="17"/>
      <c r="D59" s="22">
        <v>57</v>
      </c>
      <c r="E59" s="19" t="s">
        <v>265</v>
      </c>
    </row>
    <row r="60" spans="1:5">
      <c r="A60" s="17"/>
      <c r="B60" s="17"/>
      <c r="C60" s="17"/>
      <c r="D60" s="22">
        <v>58</v>
      </c>
      <c r="E60" s="19" t="s">
        <v>266</v>
      </c>
    </row>
    <row r="61" spans="1:5">
      <c r="A61" s="17"/>
      <c r="B61" s="17"/>
      <c r="C61" s="17"/>
      <c r="D61" s="22">
        <v>59</v>
      </c>
      <c r="E61" s="19" t="s">
        <v>267</v>
      </c>
    </row>
    <row r="62" spans="1:5">
      <c r="A62" s="15"/>
      <c r="B62" s="17"/>
      <c r="C62" s="17"/>
      <c r="D62" s="22">
        <v>60</v>
      </c>
      <c r="E62" s="19" t="s">
        <v>268</v>
      </c>
    </row>
    <row r="63" spans="1:5">
      <c r="A63" s="15"/>
      <c r="B63" s="17"/>
      <c r="C63" s="17"/>
      <c r="D63" s="22">
        <v>61</v>
      </c>
      <c r="E63" s="19" t="s">
        <v>269</v>
      </c>
    </row>
    <row r="64" spans="1:5">
      <c r="A64" s="15"/>
      <c r="B64" s="17"/>
      <c r="C64" s="17"/>
      <c r="D64" s="22">
        <v>62</v>
      </c>
      <c r="E64" s="19" t="s">
        <v>270</v>
      </c>
    </row>
    <row r="65" spans="1:5">
      <c r="A65" s="17"/>
      <c r="B65" s="17"/>
      <c r="C65" s="17"/>
      <c r="D65" s="22">
        <v>63</v>
      </c>
      <c r="E65" s="19" t="s">
        <v>271</v>
      </c>
    </row>
    <row r="66" spans="1:5">
      <c r="A66" s="17"/>
      <c r="B66" s="17"/>
      <c r="C66" s="17"/>
      <c r="D66" s="22">
        <v>64</v>
      </c>
      <c r="E66" s="28" t="s">
        <v>272</v>
      </c>
    </row>
    <row r="67" spans="1:5">
      <c r="A67" s="15"/>
      <c r="B67" s="17"/>
      <c r="C67" s="17"/>
      <c r="D67" s="22">
        <v>65</v>
      </c>
      <c r="E67" s="19" t="s">
        <v>273</v>
      </c>
    </row>
    <row r="68" spans="1:5">
      <c r="A68" s="15"/>
      <c r="B68" s="17"/>
      <c r="C68" s="17"/>
      <c r="D68" s="22">
        <v>66</v>
      </c>
      <c r="E68" s="17"/>
    </row>
    <row r="69" spans="1:5">
      <c r="A69" s="15"/>
      <c r="B69" s="17"/>
      <c r="C69" s="17"/>
      <c r="D69" s="22">
        <v>67</v>
      </c>
      <c r="E69" s="17"/>
    </row>
    <row r="70" spans="1:5">
      <c r="A70" s="15"/>
      <c r="B70" s="17"/>
      <c r="C70" s="17"/>
      <c r="D70" s="22">
        <v>68</v>
      </c>
      <c r="E70" s="17"/>
    </row>
    <row r="71" spans="1:5">
      <c r="A71" s="15"/>
      <c r="B71" s="17"/>
      <c r="C71" s="17"/>
      <c r="D71" s="22">
        <v>69</v>
      </c>
      <c r="E71" s="17"/>
    </row>
    <row r="72" spans="1:5">
      <c r="A72" s="15"/>
      <c r="B72" s="17"/>
      <c r="C72" s="17"/>
      <c r="D72" s="22">
        <v>70</v>
      </c>
      <c r="E72" s="19" t="s">
        <v>274</v>
      </c>
    </row>
    <row r="73" spans="1:5">
      <c r="A73" s="15"/>
      <c r="B73" s="17"/>
      <c r="C73" s="17"/>
      <c r="D73" s="22">
        <v>71</v>
      </c>
      <c r="E73" s="19" t="s">
        <v>275</v>
      </c>
    </row>
    <row r="74" spans="1:5">
      <c r="A74" s="15"/>
      <c r="B74" s="17"/>
      <c r="C74" s="17"/>
      <c r="D74" s="22">
        <v>72</v>
      </c>
      <c r="E74" s="19" t="s">
        <v>276</v>
      </c>
    </row>
    <row r="75" spans="1:5">
      <c r="A75" s="15"/>
      <c r="B75" s="17"/>
      <c r="C75" s="17"/>
      <c r="D75" s="22">
        <v>73</v>
      </c>
      <c r="E75" s="19" t="s">
        <v>277</v>
      </c>
    </row>
    <row r="76" spans="1:5">
      <c r="A76" s="15"/>
      <c r="B76" s="17"/>
      <c r="C76" s="17"/>
      <c r="D76" s="22">
        <v>74</v>
      </c>
      <c r="E76" s="19" t="s">
        <v>278</v>
      </c>
    </row>
    <row r="77" spans="1:5">
      <c r="A77" s="15"/>
      <c r="B77" s="17"/>
      <c r="C77" s="17"/>
      <c r="D77" s="22">
        <v>75</v>
      </c>
      <c r="E77" s="19" t="s">
        <v>279</v>
      </c>
    </row>
    <row r="78" spans="1:5">
      <c r="A78" s="15"/>
      <c r="B78" s="17"/>
      <c r="C78" s="17"/>
      <c r="D78" s="22">
        <v>76</v>
      </c>
      <c r="E78" s="19" t="s">
        <v>280</v>
      </c>
    </row>
    <row r="79" spans="1:5">
      <c r="A79" s="15"/>
      <c r="B79" s="17"/>
      <c r="C79" s="17"/>
      <c r="D79" s="22">
        <v>77</v>
      </c>
      <c r="E79" s="19" t="s">
        <v>281</v>
      </c>
    </row>
    <row r="80" spans="1:5">
      <c r="A80" s="17"/>
      <c r="B80" s="17"/>
      <c r="C80" s="17"/>
      <c r="D80" s="22">
        <v>78</v>
      </c>
      <c r="E80" s="19" t="s">
        <v>282</v>
      </c>
    </row>
    <row r="81" spans="1:5">
      <c r="A81" s="17"/>
      <c r="B81" s="17"/>
      <c r="C81" s="17"/>
      <c r="D81" s="22">
        <v>79</v>
      </c>
      <c r="E81" s="19" t="s">
        <v>283</v>
      </c>
    </row>
    <row r="82" spans="1:5">
      <c r="A82" s="15"/>
      <c r="B82" s="17"/>
      <c r="C82" s="17"/>
      <c r="D82" s="22">
        <v>80</v>
      </c>
      <c r="E82" s="19" t="s">
        <v>284</v>
      </c>
    </row>
    <row r="83" spans="1:5">
      <c r="A83" s="17"/>
      <c r="B83" s="17"/>
      <c r="C83" s="17"/>
      <c r="D83" s="22">
        <v>81</v>
      </c>
      <c r="E83" s="19" t="s">
        <v>285</v>
      </c>
    </row>
    <row r="84" spans="1:5">
      <c r="A84" s="17"/>
      <c r="B84" s="17"/>
      <c r="C84" s="17"/>
      <c r="D84" s="22">
        <v>82</v>
      </c>
      <c r="E84" s="19" t="s">
        <v>286</v>
      </c>
    </row>
    <row r="85" spans="1:5">
      <c r="A85" s="15"/>
      <c r="B85" s="17"/>
      <c r="C85" s="17"/>
      <c r="D85" s="22">
        <v>83</v>
      </c>
      <c r="E85" s="17"/>
    </row>
    <row r="86" spans="1:5">
      <c r="A86" s="15"/>
      <c r="B86" s="17"/>
      <c r="C86" s="17"/>
      <c r="D86" s="22">
        <v>84</v>
      </c>
      <c r="E86" s="17"/>
    </row>
    <row r="87" spans="1:5">
      <c r="A87" s="15"/>
      <c r="B87" s="17"/>
      <c r="C87" s="17"/>
      <c r="D87" s="22">
        <v>85</v>
      </c>
      <c r="E87" s="17"/>
    </row>
    <row r="88" spans="1:5">
      <c r="A88" s="15"/>
      <c r="B88" s="17"/>
      <c r="C88" s="17"/>
      <c r="D88" s="22">
        <v>86</v>
      </c>
      <c r="E88" s="17"/>
    </row>
    <row r="89" spans="1:5">
      <c r="A89" s="15"/>
      <c r="B89" s="17"/>
      <c r="C89" s="17"/>
      <c r="D89" s="22">
        <v>87</v>
      </c>
      <c r="E89" s="17"/>
    </row>
    <row r="90" spans="1:5">
      <c r="A90" s="15"/>
      <c r="B90" s="17"/>
      <c r="C90" s="17"/>
      <c r="D90" s="22">
        <v>88</v>
      </c>
      <c r="E90" s="17"/>
    </row>
    <row r="91" spans="1:5">
      <c r="A91" s="17"/>
      <c r="B91" s="17"/>
      <c r="C91" s="17"/>
      <c r="D91" s="22">
        <v>89</v>
      </c>
      <c r="E91" s="17"/>
    </row>
    <row r="92" spans="1:5">
      <c r="A92" s="17"/>
      <c r="B92" s="17"/>
      <c r="C92" s="17"/>
      <c r="D92" s="22">
        <v>90</v>
      </c>
      <c r="E92" s="17"/>
    </row>
    <row r="93" spans="1:5">
      <c r="A93" s="15"/>
      <c r="B93" s="17"/>
      <c r="C93" s="17"/>
      <c r="D93" s="22">
        <v>91</v>
      </c>
      <c r="E93" s="17"/>
    </row>
    <row r="94" spans="1:5">
      <c r="A94" s="15"/>
      <c r="B94" s="17"/>
      <c r="C94" s="17"/>
      <c r="D94" s="22">
        <v>92</v>
      </c>
      <c r="E94" s="17"/>
    </row>
    <row r="95" spans="1:5">
      <c r="A95" s="15"/>
      <c r="B95" s="17"/>
      <c r="C95" s="17"/>
      <c r="D95" s="22">
        <v>93</v>
      </c>
      <c r="E95" s="17"/>
    </row>
    <row r="96" spans="1:5">
      <c r="A96" s="15"/>
      <c r="B96" s="17"/>
      <c r="C96" s="17"/>
      <c r="D96" s="22">
        <v>94</v>
      </c>
      <c r="E96" s="17"/>
    </row>
    <row r="97" spans="1:5">
      <c r="A97" s="15"/>
      <c r="B97" s="17"/>
      <c r="C97" s="17"/>
      <c r="D97" s="22">
        <v>95</v>
      </c>
      <c r="E97" s="19" t="s">
        <v>287</v>
      </c>
    </row>
    <row r="98" spans="1:5">
      <c r="A98" s="15"/>
      <c r="B98" s="17"/>
      <c r="C98" s="17"/>
      <c r="D98" s="22">
        <v>96</v>
      </c>
      <c r="E98" s="17"/>
    </row>
    <row r="99" spans="1:5">
      <c r="A99" s="15"/>
      <c r="B99" s="17"/>
      <c r="C99" s="17"/>
      <c r="D99" s="22">
        <v>97</v>
      </c>
      <c r="E99" s="17"/>
    </row>
    <row r="100" spans="1:5">
      <c r="A100" s="15"/>
      <c r="B100" s="17"/>
      <c r="C100" s="17"/>
      <c r="D100" s="22">
        <v>98</v>
      </c>
      <c r="E100" s="17"/>
    </row>
    <row r="101" spans="1:5">
      <c r="A101" s="15"/>
      <c r="B101" s="17"/>
      <c r="C101" s="17"/>
      <c r="D101" s="22">
        <v>99</v>
      </c>
      <c r="E101" s="17"/>
    </row>
    <row r="102" spans="1:5">
      <c r="A102" s="15"/>
      <c r="B102" s="17"/>
      <c r="C102" s="17"/>
      <c r="D102" s="22">
        <v>100</v>
      </c>
      <c r="E102" s="29" t="s">
        <v>288</v>
      </c>
    </row>
    <row r="103" spans="1:5">
      <c r="A103" s="15"/>
      <c r="B103" s="17"/>
      <c r="C103" s="17"/>
      <c r="D103" s="22">
        <v>101</v>
      </c>
      <c r="E103" s="19" t="s">
        <v>289</v>
      </c>
    </row>
    <row r="104" spans="1:5">
      <c r="A104" s="17"/>
      <c r="B104" s="17"/>
      <c r="C104" s="17"/>
      <c r="D104" s="22">
        <v>102</v>
      </c>
      <c r="E104" s="17"/>
    </row>
    <row r="105" spans="1:5">
      <c r="A105" s="17"/>
      <c r="B105" s="17"/>
      <c r="C105" s="17"/>
      <c r="D105" s="22">
        <v>103</v>
      </c>
      <c r="E105" s="19" t="s">
        <v>290</v>
      </c>
    </row>
    <row r="106" spans="1:5">
      <c r="A106" s="15"/>
      <c r="B106" s="17"/>
      <c r="C106" s="17"/>
      <c r="D106" s="22">
        <v>104</v>
      </c>
      <c r="E106" s="17"/>
    </row>
    <row r="107" spans="1:5">
      <c r="A107" s="15"/>
      <c r="B107" s="17"/>
      <c r="C107" s="17"/>
      <c r="D107" s="22">
        <v>105</v>
      </c>
      <c r="E107" s="19" t="s">
        <v>291</v>
      </c>
    </row>
    <row r="108" spans="1:5">
      <c r="A108" s="15"/>
      <c r="B108" s="17"/>
      <c r="C108" s="17"/>
      <c r="D108" s="22">
        <v>106</v>
      </c>
      <c r="E108" s="19" t="s">
        <v>292</v>
      </c>
    </row>
    <row r="109" spans="1:5">
      <c r="A109" s="15"/>
      <c r="B109" s="17"/>
      <c r="C109" s="17"/>
      <c r="D109" s="22">
        <v>107</v>
      </c>
      <c r="E109" s="17"/>
    </row>
    <row r="110" spans="1:5">
      <c r="A110" s="15"/>
      <c r="B110" s="17"/>
      <c r="C110" s="17"/>
      <c r="D110" s="22">
        <v>108</v>
      </c>
      <c r="E110" s="19" t="s">
        <v>293</v>
      </c>
    </row>
    <row r="111" spans="1:5">
      <c r="A111" s="15"/>
      <c r="B111" s="17"/>
      <c r="C111" s="17"/>
      <c r="D111" s="22">
        <v>109</v>
      </c>
      <c r="E111" s="17"/>
    </row>
    <row r="112" spans="1:5">
      <c r="A112" s="15"/>
      <c r="B112" s="17"/>
      <c r="C112" s="17"/>
      <c r="D112" s="22">
        <v>110</v>
      </c>
      <c r="E112" s="17"/>
    </row>
    <row r="113" spans="1:5">
      <c r="A113" s="15"/>
      <c r="B113" s="17"/>
      <c r="C113" s="17"/>
      <c r="D113" s="22">
        <v>111</v>
      </c>
      <c r="E113" s="19" t="s">
        <v>294</v>
      </c>
    </row>
    <row r="114" spans="1:5">
      <c r="A114" s="15"/>
      <c r="B114" s="17"/>
      <c r="C114" s="17"/>
      <c r="D114" s="22">
        <v>112</v>
      </c>
      <c r="E114" s="19" t="s">
        <v>295</v>
      </c>
    </row>
    <row r="115" spans="1:5">
      <c r="A115" s="15"/>
      <c r="B115" s="17"/>
      <c r="C115" s="17"/>
      <c r="D115" s="22">
        <v>113</v>
      </c>
      <c r="E115" s="19" t="s">
        <v>296</v>
      </c>
    </row>
    <row r="116" spans="1:5">
      <c r="A116" s="15"/>
      <c r="B116" s="17"/>
      <c r="C116" s="17"/>
      <c r="D116" s="22">
        <v>114</v>
      </c>
      <c r="E116" s="19" t="s">
        <v>297</v>
      </c>
    </row>
    <row r="117" spans="1:5">
      <c r="A117" s="17"/>
      <c r="B117" s="17"/>
      <c r="C117" s="17"/>
      <c r="D117" s="22">
        <v>115</v>
      </c>
      <c r="E117" s="19" t="s">
        <v>298</v>
      </c>
    </row>
    <row r="118" spans="1:5">
      <c r="A118" s="17"/>
      <c r="B118" s="17"/>
      <c r="C118" s="17"/>
      <c r="D118" s="22">
        <v>116</v>
      </c>
      <c r="E118" s="19" t="s">
        <v>299</v>
      </c>
    </row>
    <row r="119" spans="1:5">
      <c r="A119" s="17"/>
      <c r="B119" s="17"/>
      <c r="C119" s="17"/>
      <c r="D119" s="22">
        <v>117</v>
      </c>
      <c r="E119" s="19" t="s">
        <v>300</v>
      </c>
    </row>
    <row r="120" spans="1:5">
      <c r="A120" s="17"/>
      <c r="B120" s="17"/>
      <c r="C120" s="17"/>
      <c r="D120" s="22">
        <v>118</v>
      </c>
      <c r="E120" s="19" t="s">
        <v>301</v>
      </c>
    </row>
    <row r="121" spans="1:5">
      <c r="A121" s="17"/>
      <c r="B121" s="17"/>
      <c r="C121" s="17"/>
      <c r="D121" s="22">
        <v>119</v>
      </c>
      <c r="E121" s="19" t="s">
        <v>302</v>
      </c>
    </row>
    <row r="122" spans="1:5">
      <c r="A122" s="15"/>
      <c r="B122" s="17"/>
      <c r="C122" s="17"/>
      <c r="D122" s="22">
        <v>120</v>
      </c>
      <c r="E122" s="19" t="s">
        <v>303</v>
      </c>
    </row>
    <row r="123" spans="1:5">
      <c r="A123" s="15"/>
      <c r="B123" s="17"/>
      <c r="C123" s="17"/>
      <c r="D123" s="22">
        <v>121</v>
      </c>
      <c r="E123" s="19" t="s">
        <v>304</v>
      </c>
    </row>
    <row r="124" spans="1:5">
      <c r="A124" s="17"/>
      <c r="B124" s="17"/>
      <c r="C124" s="17"/>
      <c r="D124" s="22">
        <v>122</v>
      </c>
      <c r="E124" s="19" t="s">
        <v>305</v>
      </c>
    </row>
    <row r="125" spans="1:5">
      <c r="A125" s="17"/>
      <c r="B125" s="17"/>
      <c r="C125" s="17"/>
      <c r="D125" s="22">
        <v>123</v>
      </c>
      <c r="E125" s="17"/>
    </row>
    <row r="126" spans="1:5">
      <c r="A126" s="15"/>
      <c r="B126" s="17"/>
      <c r="C126" s="17"/>
      <c r="D126" s="22">
        <v>124</v>
      </c>
      <c r="E126" s="19" t="s">
        <v>306</v>
      </c>
    </row>
    <row r="127" spans="1:5">
      <c r="A127" s="15"/>
      <c r="B127" s="17"/>
      <c r="C127" s="17"/>
      <c r="D127" s="22">
        <v>125</v>
      </c>
      <c r="E127" s="19" t="s">
        <v>307</v>
      </c>
    </row>
    <row r="128" spans="1:5">
      <c r="A128" s="15"/>
      <c r="B128" s="17"/>
      <c r="C128" s="17"/>
      <c r="D128" s="22">
        <v>126</v>
      </c>
      <c r="E128" s="19" t="s">
        <v>308</v>
      </c>
    </row>
    <row r="129" spans="1:5">
      <c r="A129" s="15"/>
      <c r="B129" s="17"/>
      <c r="C129" s="17"/>
      <c r="D129" s="22">
        <v>127</v>
      </c>
      <c r="E129" s="19" t="s">
        <v>309</v>
      </c>
    </row>
    <row r="130" spans="1:5">
      <c r="A130" s="15"/>
      <c r="B130" s="17"/>
      <c r="C130" s="17"/>
      <c r="D130" s="22">
        <v>128</v>
      </c>
      <c r="E130" s="19" t="s">
        <v>310</v>
      </c>
    </row>
    <row r="131" spans="1:5">
      <c r="A131" s="15"/>
      <c r="B131" s="17"/>
      <c r="C131" s="17"/>
      <c r="D131" s="22">
        <v>129</v>
      </c>
      <c r="E131" s="19" t="s">
        <v>311</v>
      </c>
    </row>
    <row r="132" spans="1:5">
      <c r="A132" s="15"/>
      <c r="B132" s="17"/>
      <c r="C132" s="17"/>
      <c r="D132" s="22">
        <v>130</v>
      </c>
      <c r="E132" s="19" t="s">
        <v>312</v>
      </c>
    </row>
    <row r="133" spans="1:5">
      <c r="A133" s="15"/>
      <c r="B133" s="17"/>
      <c r="C133" s="17"/>
      <c r="D133" s="22">
        <v>131</v>
      </c>
      <c r="E133" s="19" t="s">
        <v>313</v>
      </c>
    </row>
    <row r="134" spans="1:5">
      <c r="A134" s="15"/>
      <c r="B134" s="17"/>
      <c r="C134" s="17"/>
      <c r="D134" s="22">
        <v>132</v>
      </c>
      <c r="E134" s="19" t="s">
        <v>314</v>
      </c>
    </row>
    <row r="135" spans="1:5">
      <c r="A135" s="15"/>
      <c r="B135" s="17"/>
      <c r="C135" s="17"/>
      <c r="D135" s="22">
        <v>133</v>
      </c>
      <c r="E135" s="19" t="s">
        <v>315</v>
      </c>
    </row>
    <row r="136" spans="1:5">
      <c r="A136" s="15"/>
      <c r="B136" s="17"/>
      <c r="C136" s="17"/>
      <c r="D136" s="22">
        <v>134</v>
      </c>
      <c r="E136" s="17"/>
    </row>
    <row r="137" spans="1:5">
      <c r="A137" s="15"/>
      <c r="B137" s="17"/>
      <c r="C137" s="17"/>
      <c r="D137" s="22">
        <v>135</v>
      </c>
      <c r="E137" s="19" t="s">
        <v>316</v>
      </c>
    </row>
    <row r="138" spans="1:5">
      <c r="A138" s="15"/>
      <c r="B138" s="17"/>
      <c r="C138" s="17"/>
      <c r="D138" s="22">
        <v>136</v>
      </c>
      <c r="E138" s="19" t="s">
        <v>317</v>
      </c>
    </row>
    <row r="139" spans="1:5">
      <c r="A139" s="15"/>
      <c r="B139" s="17"/>
      <c r="C139" s="17"/>
      <c r="D139" s="22">
        <v>137</v>
      </c>
      <c r="E139" s="19" t="s">
        <v>318</v>
      </c>
    </row>
    <row r="140" spans="1:5">
      <c r="A140" s="15"/>
      <c r="B140" s="17"/>
      <c r="C140" s="17"/>
      <c r="D140" s="22">
        <v>138</v>
      </c>
      <c r="E140" s="19" t="s">
        <v>319</v>
      </c>
    </row>
    <row r="141" spans="1:5">
      <c r="A141" s="15"/>
      <c r="B141" s="17"/>
      <c r="C141" s="17"/>
      <c r="D141" s="22">
        <v>139</v>
      </c>
      <c r="E141" s="19" t="s">
        <v>320</v>
      </c>
    </row>
    <row r="142" spans="1:5">
      <c r="A142" s="15"/>
      <c r="B142" s="17"/>
      <c r="C142" s="17"/>
      <c r="D142" s="22">
        <v>140</v>
      </c>
      <c r="E142" s="19" t="s">
        <v>321</v>
      </c>
    </row>
    <row r="143" spans="1:5">
      <c r="A143" s="15"/>
      <c r="B143" s="17"/>
      <c r="C143" s="17"/>
      <c r="D143" s="22">
        <v>141</v>
      </c>
      <c r="E143" s="19" t="s">
        <v>322</v>
      </c>
    </row>
    <row r="144" spans="1:5">
      <c r="A144" s="17"/>
      <c r="B144" s="17"/>
      <c r="C144" s="17"/>
      <c r="D144" s="22">
        <v>142</v>
      </c>
      <c r="E144" s="19" t="s">
        <v>323</v>
      </c>
    </row>
    <row r="145" spans="1:5">
      <c r="A145" s="17"/>
      <c r="B145" s="17"/>
      <c r="C145" s="17"/>
      <c r="D145" s="22">
        <v>143</v>
      </c>
      <c r="E145" s="19" t="s">
        <v>324</v>
      </c>
    </row>
    <row r="146" spans="1:5">
      <c r="A146" s="15"/>
      <c r="B146" s="17"/>
      <c r="C146" s="17"/>
      <c r="D146" s="22">
        <v>144</v>
      </c>
      <c r="E146" s="19" t="s">
        <v>325</v>
      </c>
    </row>
    <row r="147" spans="1:5">
      <c r="A147" s="15"/>
      <c r="B147" s="17"/>
      <c r="C147" s="17"/>
      <c r="D147" s="22">
        <v>145</v>
      </c>
      <c r="E147" s="19" t="s">
        <v>326</v>
      </c>
    </row>
    <row r="148" spans="1:5">
      <c r="A148" s="15"/>
      <c r="B148" s="17"/>
      <c r="C148" s="17"/>
      <c r="D148" s="22">
        <v>146</v>
      </c>
      <c r="E148" s="19" t="s">
        <v>327</v>
      </c>
    </row>
    <row r="149" spans="1:5">
      <c r="A149" s="15"/>
      <c r="B149" s="17"/>
      <c r="C149" s="17"/>
      <c r="D149" s="22">
        <v>147</v>
      </c>
      <c r="E149" s="19" t="s">
        <v>328</v>
      </c>
    </row>
    <row r="150" spans="1:5">
      <c r="A150" s="15"/>
      <c r="B150" s="17"/>
      <c r="C150" s="17"/>
      <c r="D150" s="22">
        <v>148</v>
      </c>
      <c r="E150" s="19" t="s">
        <v>329</v>
      </c>
    </row>
    <row r="151" spans="1:5">
      <c r="A151" s="15"/>
      <c r="B151" s="17"/>
      <c r="C151" s="17"/>
      <c r="D151" s="22">
        <v>149</v>
      </c>
      <c r="E151" s="19" t="s">
        <v>330</v>
      </c>
    </row>
    <row r="152" spans="1:5">
      <c r="A152" s="15"/>
      <c r="B152" s="17"/>
      <c r="C152" s="17"/>
      <c r="D152" s="22">
        <v>150</v>
      </c>
      <c r="E152" s="19" t="s">
        <v>331</v>
      </c>
    </row>
    <row r="153" spans="1:5">
      <c r="A153" s="15"/>
      <c r="B153" s="17"/>
      <c r="C153" s="17"/>
      <c r="D153" s="22">
        <v>151</v>
      </c>
      <c r="E153" s="19" t="s">
        <v>332</v>
      </c>
    </row>
    <row r="154" spans="1:5">
      <c r="A154" s="15"/>
      <c r="B154" s="17"/>
      <c r="C154" s="17"/>
      <c r="D154" s="22">
        <v>152</v>
      </c>
      <c r="E154" s="19" t="s">
        <v>333</v>
      </c>
    </row>
    <row r="155" spans="1:5">
      <c r="A155" s="15"/>
      <c r="B155" s="17"/>
      <c r="C155" s="17"/>
      <c r="D155" s="22">
        <v>200</v>
      </c>
      <c r="E155" s="29" t="s">
        <v>334</v>
      </c>
    </row>
    <row r="156" spans="1:5">
      <c r="A156" s="15"/>
      <c r="B156" s="17"/>
      <c r="C156" s="17"/>
      <c r="D156" s="22">
        <v>300</v>
      </c>
      <c r="E156" s="29" t="s">
        <v>335</v>
      </c>
    </row>
    <row r="157" spans="1:5">
      <c r="A157" s="15"/>
      <c r="B157" s="17"/>
      <c r="C157" s="17"/>
      <c r="D157" s="22">
        <v>400</v>
      </c>
      <c r="E157" s="29" t="s">
        <v>336</v>
      </c>
    </row>
    <row r="158" spans="1:5">
      <c r="A158" s="15"/>
      <c r="B158" s="17"/>
      <c r="C158" s="17"/>
      <c r="D158" s="22">
        <v>500</v>
      </c>
      <c r="E158" s="29" t="s">
        <v>337</v>
      </c>
    </row>
    <row r="159" spans="1:5">
      <c r="A159" s="15"/>
      <c r="B159" s="17"/>
      <c r="C159" s="17"/>
      <c r="D159" s="22">
        <v>600</v>
      </c>
      <c r="E159" s="29" t="s">
        <v>338</v>
      </c>
    </row>
    <row r="160" spans="1:5">
      <c r="A160" s="15"/>
      <c r="B160" s="17"/>
      <c r="C160" s="17"/>
      <c r="D160" s="22">
        <v>700</v>
      </c>
      <c r="E160" s="29" t="s">
        <v>339</v>
      </c>
    </row>
    <row r="161" spans="1:5">
      <c r="A161" s="15"/>
      <c r="B161" s="17"/>
      <c r="C161" s="17"/>
      <c r="D161" s="22">
        <v>800</v>
      </c>
      <c r="E161" s="30" t="s">
        <v>340</v>
      </c>
    </row>
    <row r="162" spans="1:5">
      <c r="A162" s="15"/>
      <c r="B162" s="17"/>
      <c r="C162" s="17"/>
      <c r="D162" s="22">
        <v>900</v>
      </c>
      <c r="E162" s="29" t="s">
        <v>341</v>
      </c>
    </row>
    <row r="163" spans="1:5">
      <c r="A163" s="15"/>
      <c r="B163" s="17"/>
      <c r="C163" s="17"/>
      <c r="D163" s="22">
        <v>1000</v>
      </c>
      <c r="E163" s="29" t="s">
        <v>342</v>
      </c>
    </row>
    <row r="164" spans="1:5">
      <c r="A164" s="15"/>
      <c r="B164" s="17"/>
      <c r="C164" s="17"/>
      <c r="D164" s="22">
        <v>1100</v>
      </c>
      <c r="E164" s="29" t="s">
        <v>343</v>
      </c>
    </row>
    <row r="165" spans="1:5">
      <c r="A165" s="17"/>
      <c r="B165" s="17"/>
      <c r="C165" s="17"/>
      <c r="D165" s="22">
        <v>1200</v>
      </c>
      <c r="E165" s="29" t="s">
        <v>344</v>
      </c>
    </row>
    <row r="166" spans="1:5">
      <c r="A166" s="17"/>
      <c r="B166" s="17"/>
      <c r="C166" s="17"/>
      <c r="D166" s="22">
        <v>1300</v>
      </c>
      <c r="E166" s="29" t="s">
        <v>345</v>
      </c>
    </row>
    <row r="167" spans="1:5">
      <c r="A167" s="17"/>
      <c r="B167" s="17"/>
      <c r="C167" s="17"/>
      <c r="D167" s="17"/>
      <c r="E167" s="17"/>
    </row>
    <row r="168" spans="1:5">
      <c r="A168" s="17"/>
      <c r="B168" s="17"/>
      <c r="C168" s="17"/>
      <c r="D168" s="17"/>
      <c r="E168" s="17"/>
    </row>
    <row r="169" spans="1:5">
      <c r="A169" s="17"/>
      <c r="B169" s="17"/>
      <c r="C169" s="17"/>
      <c r="D169" s="17"/>
      <c r="E169" s="17"/>
    </row>
    <row r="170" spans="1:5">
      <c r="A170" s="15"/>
      <c r="B170" s="17"/>
      <c r="C170" s="17"/>
      <c r="D170" s="17"/>
      <c r="E170" s="17"/>
    </row>
    <row r="171" spans="1:5">
      <c r="A171" s="15"/>
      <c r="B171" s="17"/>
      <c r="C171" s="17"/>
      <c r="D171" s="17"/>
      <c r="E171" s="17"/>
    </row>
    <row r="172" spans="1:5">
      <c r="A172" s="15"/>
      <c r="B172" s="17"/>
      <c r="C172" s="17"/>
      <c r="D172" s="17"/>
      <c r="E172" s="17"/>
    </row>
    <row r="173" spans="1:5">
      <c r="A173" s="17"/>
      <c r="B173" s="17"/>
      <c r="C173" s="17"/>
      <c r="D173" s="17"/>
      <c r="E173" s="17"/>
    </row>
    <row r="174" spans="1:5">
      <c r="A174" s="17"/>
      <c r="B174" s="17"/>
      <c r="C174" s="17"/>
      <c r="D174" s="17"/>
      <c r="E174" s="17"/>
    </row>
    <row r="175" spans="1:5">
      <c r="A175" s="15"/>
      <c r="B175" s="17"/>
      <c r="C175" s="17"/>
      <c r="D175" s="17"/>
      <c r="E175" s="17"/>
    </row>
    <row r="176" spans="1:5">
      <c r="A176" s="15"/>
      <c r="D176" s="17"/>
      <c r="E176" s="17"/>
    </row>
    <row r="177" spans="1:1">
      <c r="A177" s="15"/>
    </row>
    <row r="178" spans="1:1">
      <c r="A178" s="15"/>
    </row>
    <row r="179" spans="1:1">
      <c r="A179" s="15"/>
    </row>
    <row r="180" spans="1:1">
      <c r="A180" s="17"/>
    </row>
    <row r="181" spans="1:1">
      <c r="A181" s="17"/>
    </row>
    <row r="182" spans="1:1">
      <c r="A182" s="17"/>
    </row>
    <row r="183" spans="1:1">
      <c r="A183" s="17"/>
    </row>
    <row r="184" spans="1:1">
      <c r="A184" s="17"/>
    </row>
    <row r="185" spans="1:1">
      <c r="A185" s="15"/>
    </row>
    <row r="186" spans="1:1">
      <c r="A186" s="15"/>
    </row>
    <row r="187" spans="1:1">
      <c r="A187" s="15"/>
    </row>
    <row r="188" spans="1:1">
      <c r="A188" s="15"/>
    </row>
    <row r="189" spans="1:1">
      <c r="A189" s="15"/>
    </row>
    <row r="190" spans="1:1">
      <c r="A190" s="15"/>
    </row>
    <row r="191" spans="1:1">
      <c r="A191" s="15"/>
    </row>
    <row r="192" spans="1:1">
      <c r="A192" s="15"/>
    </row>
    <row r="193" spans="1:1">
      <c r="A193" s="15"/>
    </row>
    <row r="194" spans="1:1">
      <c r="A194" s="15"/>
    </row>
    <row r="195" spans="1:1">
      <c r="A195" s="15"/>
    </row>
    <row r="196" spans="1:1">
      <c r="A196" s="15"/>
    </row>
    <row r="197" spans="1:1">
      <c r="A197" s="15"/>
    </row>
    <row r="198" spans="1:1">
      <c r="A198" s="15"/>
    </row>
    <row r="199" spans="1:1">
      <c r="A199" s="15"/>
    </row>
    <row r="200" spans="1:1">
      <c r="A200" s="15"/>
    </row>
    <row r="201" spans="1:1">
      <c r="A201" s="15"/>
    </row>
    <row r="202" spans="1:1">
      <c r="A202" s="15"/>
    </row>
    <row r="203" spans="1:1">
      <c r="A203" s="15"/>
    </row>
    <row r="204" spans="1:1">
      <c r="A204" s="15"/>
    </row>
    <row r="205" spans="1:1">
      <c r="A205" s="15"/>
    </row>
    <row r="206" spans="1:1">
      <c r="A206" s="17"/>
    </row>
    <row r="207" spans="1:1">
      <c r="A207" s="17"/>
    </row>
    <row r="208" spans="1:1">
      <c r="A208" s="15"/>
    </row>
    <row r="209" spans="1:1">
      <c r="A209" s="15"/>
    </row>
    <row r="210" spans="1:1">
      <c r="A210" s="15"/>
    </row>
    <row r="211" spans="1:1">
      <c r="A211" s="15"/>
    </row>
    <row r="212" spans="1:1">
      <c r="A212" s="15"/>
    </row>
    <row r="213" spans="1:1">
      <c r="A213" s="15"/>
    </row>
    <row r="214" spans="1:1">
      <c r="A214" s="15"/>
    </row>
    <row r="215" spans="1:1">
      <c r="A215" s="15"/>
    </row>
    <row r="216" spans="1:1">
      <c r="A216" s="15"/>
    </row>
    <row r="217" spans="1:1">
      <c r="A217" s="17"/>
    </row>
    <row r="218" spans="1:1">
      <c r="A218" s="17"/>
    </row>
    <row r="219" spans="1:1">
      <c r="A219" s="15"/>
    </row>
    <row r="220" spans="1:1">
      <c r="A220" s="15"/>
    </row>
    <row r="221" spans="1:1">
      <c r="A221" s="15"/>
    </row>
    <row r="222" spans="1:1">
      <c r="A222" s="15"/>
    </row>
    <row r="223" spans="1:1">
      <c r="A223" s="15"/>
    </row>
    <row r="224" spans="1:1">
      <c r="A224" s="17"/>
    </row>
    <row r="225" spans="1:1">
      <c r="A225" s="17"/>
    </row>
    <row r="226" spans="1:1">
      <c r="A226" s="15"/>
    </row>
    <row r="227" spans="1:1">
      <c r="A227" s="15"/>
    </row>
    <row r="228" spans="1:1">
      <c r="A228" s="15"/>
    </row>
    <row r="229" spans="1:1">
      <c r="A229" s="17"/>
    </row>
    <row r="230" spans="1:1">
      <c r="A230" s="17"/>
    </row>
    <row r="231" spans="1:1">
      <c r="A231" s="15"/>
    </row>
    <row r="232" spans="1:1">
      <c r="A232" s="17"/>
    </row>
    <row r="233" spans="1:1">
      <c r="A233" s="17"/>
    </row>
    <row r="234" spans="1:1">
      <c r="A234" s="15"/>
    </row>
    <row r="235" spans="1:1">
      <c r="A235" s="15"/>
    </row>
    <row r="236" spans="1:1">
      <c r="A236" s="15"/>
    </row>
    <row r="237" spans="1:1">
      <c r="A237" s="15"/>
    </row>
    <row r="238" spans="1:1">
      <c r="A238" s="17"/>
    </row>
    <row r="239" spans="1:1">
      <c r="A239" s="17"/>
    </row>
    <row r="240" spans="1:1">
      <c r="A240" s="15"/>
    </row>
    <row r="241" spans="1:1">
      <c r="A241" s="15"/>
    </row>
    <row r="242" spans="1:1">
      <c r="A242" s="15"/>
    </row>
    <row r="243" spans="1:1">
      <c r="A243" s="15"/>
    </row>
    <row r="244" spans="1:1">
      <c r="A244" s="15"/>
    </row>
    <row r="245" spans="1:1">
      <c r="A245" s="15"/>
    </row>
    <row r="246" spans="1:1">
      <c r="A246" s="15"/>
    </row>
    <row r="247" spans="1:1">
      <c r="A247" s="15"/>
    </row>
    <row r="248" spans="1:1">
      <c r="A248" s="15"/>
    </row>
    <row r="249" spans="1:1">
      <c r="A249" s="15"/>
    </row>
    <row r="250" spans="1:1">
      <c r="A250" s="17"/>
    </row>
    <row r="251" spans="1:1">
      <c r="A251" s="17"/>
    </row>
    <row r="252" spans="1:1">
      <c r="A252" s="15"/>
    </row>
    <row r="253" spans="1:1">
      <c r="A253" s="15"/>
    </row>
    <row r="254" spans="1:1">
      <c r="A254" s="17"/>
    </row>
    <row r="255" spans="1:1">
      <c r="A255" s="17"/>
    </row>
    <row r="256" spans="1:1">
      <c r="A256" s="15"/>
    </row>
    <row r="257" spans="1:1">
      <c r="A257" s="15"/>
    </row>
    <row r="258" spans="1:1">
      <c r="A258" s="15"/>
    </row>
    <row r="259" spans="1:1">
      <c r="A259" s="15"/>
    </row>
    <row r="260" spans="1:1">
      <c r="A260" s="15"/>
    </row>
    <row r="261" spans="1:1">
      <c r="A261" s="15"/>
    </row>
    <row r="262" spans="1:1">
      <c r="A262" s="15"/>
    </row>
    <row r="263" spans="1:1">
      <c r="A263" s="15"/>
    </row>
    <row r="264" spans="1:1">
      <c r="A264" s="15"/>
    </row>
    <row r="265" spans="1:1">
      <c r="A265" s="15"/>
    </row>
    <row r="266" spans="1:1">
      <c r="A266" s="15"/>
    </row>
    <row r="267" spans="1:1">
      <c r="A267" s="15"/>
    </row>
    <row r="268" spans="1:1">
      <c r="A268" s="17"/>
    </row>
    <row r="269" spans="1:1">
      <c r="A269" s="17"/>
    </row>
    <row r="270" spans="1:1">
      <c r="A270" s="15"/>
    </row>
    <row r="271" spans="1:1">
      <c r="A271" s="15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 xr3:uid="{842E5F09-E766-5B8D-85AF-A39847EA96FD}"/>
  </sheetViews>
  <sheetFormatPr defaultRowHeight="15"/>
  <cols>
    <col min="1" max="1025" width="10.7109375" customWidth="1"/>
  </cols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688FAB-EF56-43FA-97D2-0ED217487C7D}"/>
</file>

<file path=customXml/itemProps2.xml><?xml version="1.0" encoding="utf-8"?>
<ds:datastoreItem xmlns:ds="http://schemas.openxmlformats.org/officeDocument/2006/customXml" ds:itemID="{69B45F97-90A3-4B2B-954B-E2ADA66A2336}"/>
</file>

<file path=customXml/itemProps3.xml><?xml version="1.0" encoding="utf-8"?>
<ds:datastoreItem xmlns:ds="http://schemas.openxmlformats.org/officeDocument/2006/customXml" ds:itemID="{623272BF-3FE0-46B4-8560-DAB06ED715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Stagiaire_2018</dc:creator>
  <cp:keywords/>
  <dc:description/>
  <cp:lastModifiedBy/>
  <cp:revision>1</cp:revision>
  <dcterms:created xsi:type="dcterms:W3CDTF">2018-02-22T14:38:49Z</dcterms:created>
  <dcterms:modified xsi:type="dcterms:W3CDTF">2019-04-15T13:32:30Z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0x0101002D837B8920D00D4A8EFA68CF1C62BCD5</vt:lpwstr>
  </property>
</Properties>
</file>