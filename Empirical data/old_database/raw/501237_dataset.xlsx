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Φύλλο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<sst xmlns="http://schemas.openxmlformats.org/spreadsheetml/2006/main" count="55" uniqueCount="39">
  <si>
    <t xml:space="preserve">study year</t>
  </si>
  <si>
    <t xml:space="preserve">study name</t>
  </si>
  <si>
    <t xml:space="preserve">id</t>
  </si>
  <si>
    <t xml:space="preserve">t1</t>
  </si>
  <si>
    <t xml:space="preserve">t2</t>
  </si>
  <si>
    <t xml:space="preserve">effect</t>
  </si>
  <si>
    <t xml:space="preserve">se</t>
  </si>
  <si>
    <t xml:space="preserve">CASABURI, 2002</t>
  </si>
  <si>
    <t xml:space="preserve">NIEWOEHNER, 2005</t>
  </si>
  <si>
    <t xml:space="preserve">Beneficial</t>
  </si>
  <si>
    <r>
      <rPr>
        <b val="true"/>
        <sz val="11"/>
        <color rgb="FF000000"/>
        <rFont val="Calibri"/>
        <family val="2"/>
        <charset val="1"/>
      </rPr>
      <t xml:space="preserve">Outcome: </t>
    </r>
    <r>
      <rPr>
        <sz val="11"/>
        <color rgb="FF000000"/>
        <rFont val="Calibri"/>
        <family val="2"/>
        <charset val="161"/>
      </rPr>
      <t xml:space="preserve">change in baseline for trough forced expiratory volume in 1 second</t>
    </r>
  </si>
  <si>
    <t xml:space="preserve">TASHKIN, 2008</t>
  </si>
  <si>
    <t xml:space="preserve">HANANIA, 2003</t>
  </si>
  <si>
    <t xml:space="preserve">MAHLER 2002</t>
  </si>
  <si>
    <t xml:space="preserve">treatments</t>
  </si>
  <si>
    <t xml:space="preserve">CALVERLEY, 2003</t>
  </si>
  <si>
    <t xml:space="preserve">Placebo</t>
  </si>
  <si>
    <t xml:space="preserve">CHAPMAN, 2002</t>
  </si>
  <si>
    <t xml:space="preserve">TIO 18</t>
  </si>
  <si>
    <t xml:space="preserve">DONOHUE, 2002</t>
  </si>
  <si>
    <t xml:space="preserve">SAL 50</t>
  </si>
  <si>
    <t xml:space="preserve">FOR 12</t>
  </si>
  <si>
    <t xml:space="preserve">DONOHUE, 2003</t>
  </si>
  <si>
    <t xml:space="preserve">TIO 5</t>
  </si>
  <si>
    <t xml:space="preserve">BRUSASCO, 2003</t>
  </si>
  <si>
    <t xml:space="preserve">ACL 200</t>
  </si>
  <si>
    <t xml:space="preserve">IND 75</t>
  </si>
  <si>
    <t xml:space="preserve">IND 150</t>
  </si>
  <si>
    <t xml:space="preserve">BATEMAN 2010a</t>
  </si>
  <si>
    <t xml:space="preserve">IND 300</t>
  </si>
  <si>
    <t xml:space="preserve">BATEMAN 2010b</t>
  </si>
  <si>
    <t xml:space="preserve">GPM 50</t>
  </si>
  <si>
    <t xml:space="preserve">KORNMANN, 2011 </t>
  </si>
  <si>
    <t xml:space="preserve">DAHL, 2010 </t>
  </si>
  <si>
    <t xml:space="preserve">effect=md</t>
  </si>
  <si>
    <t xml:space="preserve">B2333</t>
  </si>
  <si>
    <t xml:space="preserve">DONOHUE, 2010 </t>
  </si>
  <si>
    <t xml:space="preserve">D’URZU, 2011</t>
  </si>
  <si>
    <t xml:space="preserve">KERWIN, 2012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</si>
</sst>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61"/>
    </font>
    <font>
      <sz val="11"/>
      <color rgb="FFFF0000"/>
      <name val="Calibri"/>
      <family val="2"/>
      <charset val="16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8CBAD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dxfs count="2">
    <dxf>
      <font>
        <name val="Calibri"/>
        <charset val="161"/>
        <family val="2"/>
        <color rgb="FF000000"/>
      </font>
      <alignment horizontal="general" vertical="bottom" textRotation="0" wrapText="false" indent="0" shrinkToFit="false"/>
    </dxf>
    <dxf>
      <fill>
        <patternFill>
          <bgColor rgb="FFFF5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505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RowHeight="1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24.42"/>
    <col collapsed="false" customWidth="true" hidden="false" outlineLevel="0" max="3" min="3" style="1" width="2.99"/>
    <col collapsed="false" customWidth="true" hidden="false" outlineLevel="0" max="6" min="4" style="1" width="9.14"/>
    <col collapsed="false" customWidth="true" hidden="false" outlineLevel="0" max="7" min="7" style="1" width="12.14"/>
    <col collapsed="false" customWidth="true" hidden="false" outlineLevel="0" max="8" min="8" style="0" width="9.14"/>
    <col collapsed="false" customWidth="true" hidden="false" outlineLevel="0" max="9" min="9" style="0" width="12.86"/>
    <col collapsed="false" customWidth="true" hidden="false" outlineLevel="0" max="10" min="10" style="0" width="13.14"/>
    <col collapsed="false" customWidth="true" hidden="false" outlineLevel="0" max="1025" min="11" style="0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K1" s="3"/>
    </row>
    <row r="2" customFormat="false" ht="15" hidden="false" customHeight="false" outlineLevel="0" collapsed="false">
      <c r="A2" s="1" t="n">
        <v>2002</v>
      </c>
      <c r="B2" s="1" t="s">
        <v>7</v>
      </c>
      <c r="C2" s="1" t="n">
        <v>1</v>
      </c>
      <c r="D2" s="1" t="n">
        <v>1</v>
      </c>
      <c r="E2" s="1" t="n">
        <v>2</v>
      </c>
      <c r="F2" s="1" t="n">
        <v>153</v>
      </c>
      <c r="G2" s="1" t="n">
        <v>15</v>
      </c>
    </row>
    <row r="3" customFormat="false" ht="15" hidden="false" customHeight="false" outlineLevel="0" collapsed="false">
      <c r="A3" s="1" t="n">
        <v>2005</v>
      </c>
      <c r="B3" s="1" t="s">
        <v>8</v>
      </c>
      <c r="C3" s="1" t="n">
        <v>2</v>
      </c>
      <c r="D3" s="1" t="n">
        <v>1</v>
      </c>
      <c r="E3" s="1" t="n">
        <v>2</v>
      </c>
      <c r="F3" s="1" t="n">
        <v>100</v>
      </c>
      <c r="G3" s="1" t="n">
        <v>13</v>
      </c>
      <c r="I3" s="4" t="s">
        <v>9</v>
      </c>
      <c r="J3" s="4" t="s">
        <v>10</v>
      </c>
    </row>
    <row r="4" customFormat="false" ht="15" hidden="false" customHeight="false" outlineLevel="0" collapsed="false">
      <c r="A4" s="1" t="n">
        <v>2008</v>
      </c>
      <c r="B4" s="1" t="s">
        <v>11</v>
      </c>
      <c r="C4" s="1" t="n">
        <v>3</v>
      </c>
      <c r="D4" s="1" t="n">
        <v>1</v>
      </c>
      <c r="E4" s="1" t="n">
        <v>2</v>
      </c>
      <c r="F4" s="1" t="n">
        <v>100</v>
      </c>
      <c r="G4" s="1" t="n">
        <v>6</v>
      </c>
    </row>
    <row r="5" customFormat="false" ht="15" hidden="false" customHeight="false" outlineLevel="0" collapsed="false">
      <c r="A5" s="1" t="n">
        <v>2003</v>
      </c>
      <c r="B5" s="1" t="s">
        <v>12</v>
      </c>
      <c r="C5" s="1" t="n">
        <v>4</v>
      </c>
      <c r="D5" s="1" t="n">
        <v>1</v>
      </c>
      <c r="E5" s="1" t="n">
        <v>3</v>
      </c>
      <c r="F5" s="1" t="n">
        <v>92</v>
      </c>
      <c r="G5" s="1" t="n">
        <v>23</v>
      </c>
    </row>
    <row r="6" customFormat="false" ht="15" hidden="false" customHeight="false" outlineLevel="0" collapsed="false">
      <c r="A6" s="1" t="n">
        <v>2002</v>
      </c>
      <c r="B6" s="1" t="s">
        <v>13</v>
      </c>
      <c r="C6" s="1" t="n">
        <v>5</v>
      </c>
      <c r="D6" s="1" t="n">
        <v>1</v>
      </c>
      <c r="E6" s="1" t="n">
        <v>3</v>
      </c>
      <c r="F6" s="1" t="n">
        <v>92</v>
      </c>
      <c r="G6" s="1" t="n">
        <v>30</v>
      </c>
      <c r="I6" s="5" t="s">
        <v>14</v>
      </c>
      <c r="J6" s="6"/>
    </row>
    <row r="7" customFormat="false" ht="15" hidden="false" customHeight="false" outlineLevel="0" collapsed="false">
      <c r="A7" s="1" t="n">
        <v>2003</v>
      </c>
      <c r="B7" s="1" t="s">
        <v>15</v>
      </c>
      <c r="C7" s="1" t="n">
        <v>6</v>
      </c>
      <c r="D7" s="1" t="n">
        <v>1</v>
      </c>
      <c r="E7" s="1" t="n">
        <v>3</v>
      </c>
      <c r="F7" s="1" t="n">
        <v>86</v>
      </c>
      <c r="G7" s="1" t="n">
        <v>16</v>
      </c>
      <c r="I7" s="6" t="s">
        <v>16</v>
      </c>
      <c r="J7" s="6" t="n">
        <v>1</v>
      </c>
    </row>
    <row r="8" customFormat="false" ht="15" hidden="false" customHeight="false" outlineLevel="0" collapsed="false">
      <c r="A8" s="1" t="n">
        <v>2002</v>
      </c>
      <c r="B8" s="1" t="s">
        <v>17</v>
      </c>
      <c r="C8" s="1" t="n">
        <v>7</v>
      </c>
      <c r="D8" s="1" t="n">
        <v>1</v>
      </c>
      <c r="E8" s="1" t="n">
        <v>3</v>
      </c>
      <c r="F8" s="1" t="n">
        <v>30</v>
      </c>
      <c r="G8" s="1" t="n">
        <v>21</v>
      </c>
      <c r="I8" s="6" t="s">
        <v>18</v>
      </c>
      <c r="J8" s="6" t="n">
        <v>2</v>
      </c>
    </row>
    <row r="9" customFormat="false" ht="15" hidden="false" customHeight="false" outlineLevel="0" collapsed="false">
      <c r="A9" s="1" t="n">
        <v>2002</v>
      </c>
      <c r="B9" s="1" t="s">
        <v>19</v>
      </c>
      <c r="C9" s="1" t="n">
        <v>8</v>
      </c>
      <c r="D9" s="1" t="n">
        <v>1</v>
      </c>
      <c r="E9" s="1" t="n">
        <v>2</v>
      </c>
      <c r="F9" s="1" t="n">
        <v>137</v>
      </c>
      <c r="G9" s="1" t="n">
        <v>20</v>
      </c>
      <c r="I9" s="6" t="s">
        <v>20</v>
      </c>
      <c r="J9" s="6" t="n">
        <v>3</v>
      </c>
    </row>
    <row r="10" customFormat="false" ht="15" hidden="false" customHeight="false" outlineLevel="0" collapsed="false">
      <c r="A10" s="1" t="n">
        <v>2002</v>
      </c>
      <c r="B10" s="1" t="s">
        <v>19</v>
      </c>
      <c r="C10" s="1" t="n">
        <v>8</v>
      </c>
      <c r="D10" s="1" t="n">
        <v>1</v>
      </c>
      <c r="E10" s="1" t="n">
        <v>3</v>
      </c>
      <c r="F10" s="1" t="n">
        <v>85</v>
      </c>
      <c r="G10" s="1" t="n">
        <v>20</v>
      </c>
      <c r="I10" s="6" t="s">
        <v>21</v>
      </c>
      <c r="J10" s="6" t="n">
        <v>4</v>
      </c>
    </row>
    <row r="11" customFormat="false" ht="15" hidden="false" customHeight="false" outlineLevel="0" collapsed="false">
      <c r="A11" s="1" t="n">
        <v>2002</v>
      </c>
      <c r="B11" s="1" t="s">
        <v>22</v>
      </c>
      <c r="C11" s="1" t="n">
        <v>8</v>
      </c>
      <c r="D11" s="1" t="n">
        <v>2</v>
      </c>
      <c r="E11" s="1" t="n">
        <v>3</v>
      </c>
      <c r="F11" s="1" t="n">
        <v>-52</v>
      </c>
      <c r="G11" s="1" t="n">
        <f aca="false">SQRT(G9^2+G10^2)</f>
        <v>28.2842712474619</v>
      </c>
      <c r="I11" s="6" t="s">
        <v>23</v>
      </c>
      <c r="J11" s="6" t="n">
        <v>5</v>
      </c>
    </row>
    <row r="12" customFormat="false" ht="15" hidden="false" customHeight="false" outlineLevel="0" collapsed="false">
      <c r="A12" s="1" t="n">
        <v>2003</v>
      </c>
      <c r="B12" s="1" t="s">
        <v>24</v>
      </c>
      <c r="C12" s="1" t="n">
        <v>9</v>
      </c>
      <c r="D12" s="1" t="n">
        <v>1</v>
      </c>
      <c r="E12" s="1" t="n">
        <v>3</v>
      </c>
      <c r="F12" s="1" t="n">
        <v>120</v>
      </c>
      <c r="G12" s="1" t="n">
        <v>16</v>
      </c>
      <c r="I12" s="6" t="s">
        <v>25</v>
      </c>
      <c r="J12" s="6" t="n">
        <v>6</v>
      </c>
    </row>
    <row r="13" customFormat="false" ht="15" hidden="false" customHeight="false" outlineLevel="0" collapsed="false">
      <c r="A13" s="1" t="n">
        <v>2003</v>
      </c>
      <c r="B13" s="1" t="s">
        <v>24</v>
      </c>
      <c r="C13" s="1" t="n">
        <v>9</v>
      </c>
      <c r="D13" s="1" t="n">
        <v>1</v>
      </c>
      <c r="E13" s="1" t="n">
        <v>4</v>
      </c>
      <c r="F13" s="1" t="n">
        <v>90</v>
      </c>
      <c r="G13" s="1" t="n">
        <v>16</v>
      </c>
      <c r="I13" s="6" t="s">
        <v>26</v>
      </c>
      <c r="J13" s="6" t="n">
        <v>7</v>
      </c>
    </row>
    <row r="14" customFormat="false" ht="15" hidden="false" customHeight="false" outlineLevel="0" collapsed="false">
      <c r="A14" s="1" t="n">
        <v>2003</v>
      </c>
      <c r="B14" s="1" t="s">
        <v>24</v>
      </c>
      <c r="C14" s="1" t="n">
        <v>9</v>
      </c>
      <c r="D14" s="1" t="n">
        <v>3</v>
      </c>
      <c r="E14" s="1" t="n">
        <v>4</v>
      </c>
      <c r="F14" s="1" t="n">
        <v>-30</v>
      </c>
      <c r="G14" s="1" t="n">
        <f aca="false">SQRT(G12^2+G13^2)</f>
        <v>22.6274169979695</v>
      </c>
      <c r="I14" s="6" t="s">
        <v>27</v>
      </c>
      <c r="J14" s="6" t="n">
        <v>8</v>
      </c>
    </row>
    <row r="15" customFormat="false" ht="15" hidden="false" customHeight="false" outlineLevel="0" collapsed="false">
      <c r="A15" s="1" t="n">
        <v>2010</v>
      </c>
      <c r="B15" s="1" t="s">
        <v>28</v>
      </c>
      <c r="C15" s="1" t="n">
        <v>10</v>
      </c>
      <c r="D15" s="1" t="n">
        <v>1</v>
      </c>
      <c r="E15" s="1" t="n">
        <v>5</v>
      </c>
      <c r="F15" s="1" t="n">
        <v>103</v>
      </c>
      <c r="G15" s="1" t="n">
        <v>8</v>
      </c>
      <c r="I15" s="6" t="s">
        <v>29</v>
      </c>
      <c r="J15" s="6" t="n">
        <v>9</v>
      </c>
    </row>
    <row r="16" customFormat="false" ht="15" hidden="false" customHeight="false" outlineLevel="0" collapsed="false">
      <c r="A16" s="1" t="n">
        <v>2010</v>
      </c>
      <c r="B16" s="1" t="s">
        <v>30</v>
      </c>
      <c r="C16" s="1" t="n">
        <v>11</v>
      </c>
      <c r="D16" s="1" t="n">
        <v>1</v>
      </c>
      <c r="E16" s="1" t="n">
        <v>5</v>
      </c>
      <c r="F16" s="1" t="n">
        <v>124</v>
      </c>
      <c r="G16" s="1" t="n">
        <v>13</v>
      </c>
      <c r="I16" s="6" t="s">
        <v>31</v>
      </c>
      <c r="J16" s="6" t="n">
        <v>10</v>
      </c>
    </row>
    <row r="17" customFormat="false" ht="15" hidden="false" customHeight="false" outlineLevel="0" collapsed="false">
      <c r="A17" s="1" t="n">
        <v>2011</v>
      </c>
      <c r="B17" s="1" t="s">
        <v>32</v>
      </c>
      <c r="C17" s="1" t="n">
        <v>12</v>
      </c>
      <c r="D17" s="1" t="n">
        <v>1</v>
      </c>
      <c r="E17" s="1" t="n">
        <v>3</v>
      </c>
      <c r="F17" s="1" t="n">
        <v>110</v>
      </c>
      <c r="G17" s="1" t="n">
        <v>20</v>
      </c>
    </row>
    <row r="18" customFormat="false" ht="15" hidden="false" customHeight="false" outlineLevel="0" collapsed="false">
      <c r="A18" s="1" t="n">
        <v>2011</v>
      </c>
      <c r="B18" s="1" t="s">
        <v>32</v>
      </c>
      <c r="C18" s="1" t="n">
        <v>12</v>
      </c>
      <c r="D18" s="1" t="n">
        <v>1</v>
      </c>
      <c r="E18" s="1" t="n">
        <v>8</v>
      </c>
      <c r="F18" s="1" t="n">
        <v>180</v>
      </c>
      <c r="G18" s="1" t="n">
        <v>20</v>
      </c>
    </row>
    <row r="19" customFormat="false" ht="15" hidden="false" customHeight="false" outlineLevel="0" collapsed="false">
      <c r="A19" s="1" t="n">
        <v>2011</v>
      </c>
      <c r="B19" s="1" t="s">
        <v>32</v>
      </c>
      <c r="C19" s="1" t="n">
        <v>12</v>
      </c>
      <c r="D19" s="1" t="n">
        <v>3</v>
      </c>
      <c r="E19" s="1" t="n">
        <v>8</v>
      </c>
      <c r="F19" s="1" t="n">
        <v>70</v>
      </c>
      <c r="G19" s="1" t="n">
        <f aca="false">SQRT(G17^2+G18^2)</f>
        <v>28.2842712474619</v>
      </c>
    </row>
    <row r="20" customFormat="false" ht="15" hidden="false" customHeight="false" outlineLevel="0" collapsed="false">
      <c r="A20" s="1" t="n">
        <v>2010</v>
      </c>
      <c r="B20" s="1" t="s">
        <v>33</v>
      </c>
      <c r="C20" s="1" t="n">
        <v>13</v>
      </c>
      <c r="D20" s="1" t="n">
        <v>1</v>
      </c>
      <c r="E20" s="1" t="n">
        <v>4</v>
      </c>
      <c r="F20" s="1" t="n">
        <v>60</v>
      </c>
      <c r="G20" s="1" t="n">
        <v>19</v>
      </c>
    </row>
    <row r="21" customFormat="false" ht="15" hidden="false" customHeight="false" outlineLevel="0" collapsed="false">
      <c r="A21" s="1" t="n">
        <v>2010</v>
      </c>
      <c r="B21" s="1" t="s">
        <v>33</v>
      </c>
      <c r="C21" s="1" t="n">
        <v>13</v>
      </c>
      <c r="D21" s="1" t="n">
        <v>1</v>
      </c>
      <c r="E21" s="1" t="n">
        <v>9</v>
      </c>
      <c r="F21" s="1" t="n">
        <v>160</v>
      </c>
      <c r="G21" s="1" t="n">
        <v>19</v>
      </c>
      <c r="J21" s="4" t="s">
        <v>34</v>
      </c>
    </row>
    <row r="22" customFormat="false" ht="15" hidden="false" customHeight="false" outlineLevel="0" collapsed="false">
      <c r="A22" s="1" t="n">
        <v>2010</v>
      </c>
      <c r="B22" s="1" t="s">
        <v>33</v>
      </c>
      <c r="C22" s="1" t="n">
        <v>13</v>
      </c>
      <c r="D22" s="1" t="n">
        <v>4</v>
      </c>
      <c r="E22" s="1" t="n">
        <v>9</v>
      </c>
      <c r="F22" s="1" t="n">
        <v>100</v>
      </c>
      <c r="G22" s="1" t="n">
        <f aca="false">SQRT(G20^2+G21^2)</f>
        <v>26.8700576850888</v>
      </c>
      <c r="J22" s="4"/>
    </row>
    <row r="23" customFormat="false" ht="15" hidden="false" customHeight="false" outlineLevel="0" collapsed="false">
      <c r="A23" s="1" t="n">
        <v>2010</v>
      </c>
      <c r="B23" s="1" t="s">
        <v>35</v>
      </c>
      <c r="C23" s="1" t="n">
        <v>14</v>
      </c>
      <c r="D23" s="1" t="n">
        <v>1</v>
      </c>
      <c r="E23" s="1" t="n">
        <v>7</v>
      </c>
      <c r="F23" s="1" t="n">
        <v>140</v>
      </c>
      <c r="G23" s="1" t="n">
        <v>20</v>
      </c>
    </row>
    <row r="24" customFormat="false" ht="15" hidden="false" customHeight="false" outlineLevel="0" collapsed="false">
      <c r="A24" s="1" t="n">
        <v>2010</v>
      </c>
      <c r="B24" s="1" t="s">
        <v>35</v>
      </c>
      <c r="C24" s="1" t="n">
        <v>14</v>
      </c>
      <c r="D24" s="1" t="n">
        <v>1</v>
      </c>
      <c r="E24" s="1" t="n">
        <v>8</v>
      </c>
      <c r="F24" s="1" t="n">
        <v>140</v>
      </c>
      <c r="G24" s="1" t="n">
        <v>21</v>
      </c>
    </row>
    <row r="25" customFormat="false" ht="15" hidden="false" customHeight="false" outlineLevel="0" collapsed="false">
      <c r="A25" s="1" t="n">
        <v>2010</v>
      </c>
      <c r="B25" s="1" t="s">
        <v>35</v>
      </c>
      <c r="C25" s="1" t="n">
        <v>14</v>
      </c>
      <c r="D25" s="1" t="n">
        <v>7</v>
      </c>
      <c r="E25" s="1" t="n">
        <v>8</v>
      </c>
      <c r="F25" s="1" t="n">
        <f aca="false">F23-F24</f>
        <v>0</v>
      </c>
      <c r="G25" s="1" t="n">
        <f aca="false">SQRT(G23^2+G24^2)</f>
        <v>29</v>
      </c>
    </row>
    <row r="26" customFormat="false" ht="15" hidden="false" customHeight="false" outlineLevel="0" collapsed="false">
      <c r="A26" s="1" t="n">
        <v>2010</v>
      </c>
      <c r="B26" s="1" t="s">
        <v>36</v>
      </c>
      <c r="C26" s="1" t="n">
        <v>15</v>
      </c>
      <c r="D26" s="1" t="n">
        <v>1</v>
      </c>
      <c r="E26" s="1" t="n">
        <v>2</v>
      </c>
      <c r="F26" s="1" t="n">
        <v>140</v>
      </c>
      <c r="G26" s="1" t="n">
        <v>18</v>
      </c>
    </row>
    <row r="27" customFormat="false" ht="15" hidden="false" customHeight="false" outlineLevel="0" collapsed="false">
      <c r="A27" s="1" t="n">
        <v>2010</v>
      </c>
      <c r="B27" s="1" t="s">
        <v>36</v>
      </c>
      <c r="C27" s="1" t="n">
        <v>15</v>
      </c>
      <c r="D27" s="1" t="n">
        <v>1</v>
      </c>
      <c r="E27" s="1" t="n">
        <v>8</v>
      </c>
      <c r="F27" s="1" t="n">
        <v>160</v>
      </c>
      <c r="G27" s="1" t="n">
        <v>19</v>
      </c>
    </row>
    <row r="28" customFormat="false" ht="15" hidden="false" customHeight="false" outlineLevel="0" collapsed="false">
      <c r="A28" s="1" t="n">
        <v>2010</v>
      </c>
      <c r="B28" s="1" t="s">
        <v>36</v>
      </c>
      <c r="C28" s="1" t="n">
        <v>15</v>
      </c>
      <c r="D28" s="1" t="n">
        <v>1</v>
      </c>
      <c r="E28" s="1" t="n">
        <v>9</v>
      </c>
      <c r="F28" s="1" t="n">
        <v>180</v>
      </c>
      <c r="G28" s="1" t="n">
        <v>18</v>
      </c>
    </row>
    <row r="29" customFormat="false" ht="15" hidden="false" customHeight="false" outlineLevel="0" collapsed="false">
      <c r="A29" s="1" t="n">
        <v>2010</v>
      </c>
      <c r="B29" s="1" t="s">
        <v>36</v>
      </c>
      <c r="C29" s="1" t="n">
        <v>15</v>
      </c>
      <c r="D29" s="1" t="n">
        <v>2</v>
      </c>
      <c r="E29" s="1" t="n">
        <v>8</v>
      </c>
      <c r="F29" s="1" t="n">
        <v>20</v>
      </c>
      <c r="G29" s="1" t="n">
        <f aca="false">SQRT(G26^2+G27^2)</f>
        <v>26.1725046566048</v>
      </c>
    </row>
    <row r="30" customFormat="false" ht="15" hidden="false" customHeight="false" outlineLevel="0" collapsed="false">
      <c r="A30" s="1" t="n">
        <v>2010</v>
      </c>
      <c r="B30" s="1" t="s">
        <v>36</v>
      </c>
      <c r="C30" s="1" t="n">
        <v>15</v>
      </c>
      <c r="D30" s="1" t="n">
        <v>2</v>
      </c>
      <c r="E30" s="1" t="n">
        <v>9</v>
      </c>
      <c r="F30" s="1" t="n">
        <v>40</v>
      </c>
      <c r="G30" s="1" t="n">
        <f aca="false">SQRT(G26^2+G28^2)</f>
        <v>25.4558441227157</v>
      </c>
    </row>
    <row r="31" customFormat="false" ht="15" hidden="false" customHeight="false" outlineLevel="0" collapsed="false">
      <c r="A31" s="1" t="n">
        <v>2010</v>
      </c>
      <c r="B31" s="1" t="s">
        <v>36</v>
      </c>
      <c r="C31" s="1" t="n">
        <v>15</v>
      </c>
      <c r="D31" s="1" t="n">
        <v>8</v>
      </c>
      <c r="E31" s="1" t="n">
        <v>9</v>
      </c>
      <c r="F31" s="1" t="n">
        <v>20</v>
      </c>
      <c r="G31" s="1" t="n">
        <f aca="false">SQRT(G27^2+G28^2)</f>
        <v>26.1725046566048</v>
      </c>
    </row>
    <row r="32" customFormat="false" ht="15" hidden="false" customHeight="false" outlineLevel="0" collapsed="false">
      <c r="A32" s="1" t="n">
        <v>2011</v>
      </c>
      <c r="B32" s="1" t="s">
        <v>37</v>
      </c>
      <c r="C32" s="1" t="n">
        <v>16</v>
      </c>
      <c r="D32" s="1" t="n">
        <v>1</v>
      </c>
      <c r="E32" s="1" t="n">
        <v>10</v>
      </c>
      <c r="F32" s="1" t="n">
        <v>113</v>
      </c>
      <c r="G32" s="1" t="n">
        <v>17</v>
      </c>
    </row>
    <row r="33" customFormat="false" ht="15" hidden="false" customHeight="false" outlineLevel="0" collapsed="false">
      <c r="A33" s="1" t="n">
        <v>2012</v>
      </c>
      <c r="B33" s="1" t="s">
        <v>38</v>
      </c>
      <c r="C33" s="1" t="n">
        <v>17</v>
      </c>
      <c r="D33" s="1" t="n">
        <v>1</v>
      </c>
      <c r="E33" s="1" t="n">
        <v>2</v>
      </c>
      <c r="F33" s="1" t="n">
        <v>84</v>
      </c>
      <c r="G33" s="1" t="n">
        <v>22</v>
      </c>
    </row>
    <row r="34" customFormat="false" ht="15" hidden="false" customHeight="false" outlineLevel="0" collapsed="false">
      <c r="A34" s="1" t="n">
        <v>2012</v>
      </c>
      <c r="B34" s="1" t="s">
        <v>38</v>
      </c>
      <c r="C34" s="1" t="n">
        <v>17</v>
      </c>
      <c r="D34" s="1" t="n">
        <v>1</v>
      </c>
      <c r="E34" s="1" t="n">
        <v>10</v>
      </c>
      <c r="F34" s="1" t="n">
        <v>134</v>
      </c>
      <c r="G34" s="1" t="n">
        <v>19</v>
      </c>
    </row>
    <row r="35" customFormat="false" ht="15" hidden="false" customHeight="false" outlineLevel="0" collapsed="false">
      <c r="A35" s="1" t="n">
        <v>2012</v>
      </c>
      <c r="B35" s="1" t="s">
        <v>38</v>
      </c>
      <c r="C35" s="1" t="n">
        <v>17</v>
      </c>
      <c r="D35" s="1" t="n">
        <v>2</v>
      </c>
      <c r="E35" s="1" t="n">
        <v>10</v>
      </c>
      <c r="F35" s="1" t="n">
        <v>50</v>
      </c>
      <c r="G35" s="1" t="n">
        <f aca="false">SQRT(G33^2+G34^2)</f>
        <v>29.0688837074973</v>
      </c>
    </row>
    <row r="41" customFormat="false" ht="18.75" hidden="false" customHeight="true" outlineLevel="0" collapsed="false"/>
  </sheetData>
  <conditionalFormatting sqref="J3">
    <cfRule type="expression" priority="2" aboveAverage="0" equalAverage="0" bottom="0" percent="0" rank="0" text="" dxfId="0">
      <formula>$O3=$P3</formula>
    </cfRule>
  </conditionalFormatting>
  <conditionalFormatting sqref="J3">
    <cfRule type="expression" priority="3" aboveAverage="0" equalAverage="0" bottom="0" percent="0" rank="0" text="" dxfId="1">
      <formula>$M3&lt;&gt;$P3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1E5D56-BD50-44E1-AC4B-35A0F3692830}"/>
</file>

<file path=customXml/itemProps2.xml><?xml version="1.0" encoding="utf-8"?>
<ds:datastoreItem xmlns:ds="http://schemas.openxmlformats.org/officeDocument/2006/customXml" ds:itemID="{D724E8BF-2057-4DE2-9089-08332420CBD9}"/>
</file>

<file path=customXml/itemProps3.xml><?xml version="1.0" encoding="utf-8"?>
<ds:datastoreItem xmlns:ds="http://schemas.openxmlformats.org/officeDocument/2006/customXml" ds:itemID="{CA09169F-0DB7-48D0-B189-30B2B3B8729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Tunerakos</dc:creator>
  <dc:description/>
  <cp:lastModifiedBy>Theodore Papakonstantinou</cp:lastModifiedBy>
  <cp:revision>1</cp:revision>
  <dcterms:created xsi:type="dcterms:W3CDTF">2015-06-15T13:07:37Z</dcterms:created>
  <dcterms:modified xsi:type="dcterms:W3CDTF">2019-04-12T16:56:16Z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0x0101002D837B8920D00D4A8EFA68CF1C62BCD5</vt:lpwstr>
  </property>
</Properties>
</file>