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TP</author>
  </authors>
  <commentList>
    <comment ref="F17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Patricia Rios:
</t>
        </r>
        <r>
          <rPr>
            <sz val="9"/>
            <color rgb="FF000000"/>
            <rFont val="Tahoma"/>
            <family val="2"/>
            <charset val="1"/>
          </rPr>
          <t xml:space="preserve">multiple doses of LdT (400 and 600 mg/day) pooled in one arm</t>
        </r>
      </text>
    </comment>
    <comment ref="F18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Patricia Rios:
</t>
        </r>
        <r>
          <rPr>
            <sz val="9"/>
            <color rgb="FF000000"/>
            <rFont val="Tahoma"/>
            <family val="2"/>
            <charset val="1"/>
          </rPr>
          <t xml:space="preserve">multiple doses of LdT (400/600) pooled in one arm</t>
        </r>
      </text>
    </comment>
  </commentList>
</comments>
</file>

<file path=xl/sharedStrings.xml><?xml version="1.0" encoding="utf-8"?>
<sst xmlns="http://schemas.openxmlformats.org/spreadsheetml/2006/main" count="29" uniqueCount="29">
  <si>
    <t xml:space="preserve">year</t>
  </si>
  <si>
    <t xml:space="preserve">study</t>
  </si>
  <si>
    <t xml:space="preserve">id</t>
  </si>
  <si>
    <t xml:space="preserve">t</t>
  </si>
  <si>
    <t xml:space="preserve">r</t>
  </si>
  <si>
    <t xml:space="preserve">n</t>
  </si>
  <si>
    <t xml:space="preserve">r_raw</t>
  </si>
  <si>
    <t xml:space="preserve">Benefit</t>
  </si>
  <si>
    <r>
      <rPr>
        <b val="true"/>
        <sz val="11"/>
        <rFont val="Calibri"/>
        <family val="2"/>
        <charset val="1"/>
      </rPr>
      <t xml:space="preserve">Outcome: </t>
    </r>
    <r>
      <rPr>
        <sz val="11"/>
        <rFont val="Calibri"/>
        <family val="2"/>
        <charset val="1"/>
      </rPr>
      <t xml:space="preserve">proportion of patients achieving  hepatitis b virus (HBV) DNA &lt; 300 copies/ml at 1 year </t>
    </r>
  </si>
  <si>
    <t xml:space="preserve">BEHoLD AI463022 </t>
  </si>
  <si>
    <t xml:space="preserve">Treatments</t>
  </si>
  <si>
    <t xml:space="preserve">Code</t>
  </si>
  <si>
    <t xml:space="preserve">EARLY </t>
  </si>
  <si>
    <t xml:space="preserve">ETV 0.5 mg/day </t>
  </si>
  <si>
    <t xml:space="preserve">LAM 100 mg/day </t>
  </si>
  <si>
    <t xml:space="preserve">Study 018 </t>
  </si>
  <si>
    <t xml:space="preserve">ADV 10 mg/day </t>
  </si>
  <si>
    <t xml:space="preserve">LdT 400/600 mg/day </t>
  </si>
  <si>
    <t xml:space="preserve">GLOBE </t>
  </si>
  <si>
    <t xml:space="preserve">TDF 300 mg/day </t>
  </si>
  <si>
    <t xml:space="preserve">PLA</t>
  </si>
  <si>
    <t xml:space="preserve">Study 103 </t>
  </si>
  <si>
    <t xml:space="preserve">LAM 100 mg/day + ADV </t>
  </si>
  <si>
    <t xml:space="preserve">LdT 400/600 mg/day + LAM 100 mg/day </t>
  </si>
  <si>
    <t xml:space="preserve">Marcellin 2003 </t>
  </si>
  <si>
    <t xml:space="preserve">Sung 2003 </t>
  </si>
  <si>
    <t xml:space="preserve">Lai 2005 </t>
  </si>
  <si>
    <t xml:space="preserve">ETV-023 </t>
  </si>
  <si>
    <t xml:space="preserve">Schiff 2003 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</si>
</sst>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9"/>
      <color rgb="FF000000"/>
      <name val="Tahoma"/>
      <family val="2"/>
      <charset val="1"/>
    </font>
    <font>
      <sz val="9"/>
      <color rgb="FF000000"/>
      <name val="Tahoma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CE6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1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:E22"/>
    </sheetView>
  </sheetViews>
  <sheetFormatPr defaultRowHeight="15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1" width="16.57"/>
    <col collapsed="false" customWidth="true" hidden="false" outlineLevel="0" max="6" min="3" style="1" width="9.14"/>
    <col collapsed="false" customWidth="true" hidden="false" outlineLevel="0" max="8" min="7" style="2" width="8.86"/>
    <col collapsed="false" customWidth="true" hidden="false" outlineLevel="0" max="9" min="9" style="2" width="31.43"/>
    <col collapsed="false" customWidth="true" hidden="false" outlineLevel="0" max="10" min="10" style="2" width="23.42"/>
    <col collapsed="false" customWidth="true" hidden="false" outlineLevel="0" max="11" min="11" style="2" width="20.99"/>
    <col collapsed="false" customWidth="true" hidden="false" outlineLevel="0" max="1025" min="12" style="2" width="8.86"/>
  </cols>
  <sheetData>
    <row r="1" s="6" customFormat="true" ht="13.8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0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7"/>
      <c r="K1" s="8"/>
      <c r="L1" s="8"/>
      <c r="M1" s="8"/>
      <c r="N1" s="8"/>
      <c r="O1" s="8"/>
      <c r="P1" s="8"/>
      <c r="Q1" s="9"/>
      <c r="R1" s="9"/>
      <c r="S1" s="9"/>
      <c r="T1" s="9"/>
      <c r="U1" s="10"/>
    </row>
    <row r="2" customFormat="false" ht="13.8" hidden="false" customHeight="false" outlineLevel="0" collapsed="false">
      <c r="A2" s="11" t="n">
        <v>2002</v>
      </c>
      <c r="B2" s="1" t="s">
        <v>9</v>
      </c>
      <c r="C2" s="1" t="n">
        <v>1</v>
      </c>
      <c r="D2" s="12" t="n">
        <v>1</v>
      </c>
      <c r="E2" s="0" t="n">
        <f aca="false">ROUND(G2,0)</f>
        <v>236</v>
      </c>
      <c r="F2" s="12" t="n">
        <v>354</v>
      </c>
      <c r="G2" s="1" t="n">
        <v>236</v>
      </c>
      <c r="H2" s="5"/>
      <c r="I2" s="6"/>
      <c r="J2" s="7"/>
      <c r="K2" s="8"/>
      <c r="L2" s="8"/>
    </row>
    <row r="3" customFormat="false" ht="13.8" hidden="false" customHeight="false" outlineLevel="0" collapsed="false">
      <c r="A3" s="11"/>
      <c r="B3" s="13"/>
      <c r="C3" s="1" t="n">
        <v>1</v>
      </c>
      <c r="D3" s="13" t="n">
        <v>2</v>
      </c>
      <c r="E3" s="0" t="n">
        <f aca="false">ROUND(G3,0)</f>
        <v>129</v>
      </c>
      <c r="F3" s="13" t="n">
        <v>355</v>
      </c>
      <c r="G3" s="1" t="n">
        <v>129</v>
      </c>
      <c r="I3" s="14" t="s">
        <v>10</v>
      </c>
      <c r="J3" s="15" t="s">
        <v>11</v>
      </c>
      <c r="K3" s="8"/>
    </row>
    <row r="4" customFormat="false" ht="13.8" hidden="false" customHeight="false" outlineLevel="0" collapsed="false">
      <c r="A4" s="11" t="n">
        <v>2006</v>
      </c>
      <c r="B4" s="1" t="s">
        <v>12</v>
      </c>
      <c r="C4" s="1" t="n">
        <v>2</v>
      </c>
      <c r="D4" s="12" t="n">
        <v>1</v>
      </c>
      <c r="E4" s="0" t="n">
        <f aca="false">ROUND(G4,0)</f>
        <v>19</v>
      </c>
      <c r="F4" s="13" t="n">
        <v>33</v>
      </c>
      <c r="G4" s="13" t="n">
        <v>19.1</v>
      </c>
      <c r="I4" s="16" t="s">
        <v>13</v>
      </c>
      <c r="J4" s="17" t="n">
        <v>1</v>
      </c>
    </row>
    <row r="5" customFormat="false" ht="13.8" hidden="false" customHeight="false" outlineLevel="0" collapsed="false">
      <c r="A5" s="11"/>
      <c r="B5" s="13"/>
      <c r="C5" s="1" t="n">
        <v>2</v>
      </c>
      <c r="D5" s="13" t="n">
        <v>3</v>
      </c>
      <c r="E5" s="0" t="n">
        <f aca="false">ROUND(G5,0)</f>
        <v>6</v>
      </c>
      <c r="F5" s="13" t="n">
        <v>32</v>
      </c>
      <c r="G5" s="13" t="n">
        <v>6.1</v>
      </c>
      <c r="I5" s="16" t="s">
        <v>14</v>
      </c>
      <c r="J5" s="17" t="n">
        <v>2</v>
      </c>
    </row>
    <row r="6" customFormat="false" ht="13.8" hidden="false" customHeight="false" outlineLevel="0" collapsed="false">
      <c r="A6" s="11" t="n">
        <v>2006</v>
      </c>
      <c r="B6" s="1" t="s">
        <v>15</v>
      </c>
      <c r="C6" s="1" t="n">
        <v>3</v>
      </c>
      <c r="D6" s="12" t="n">
        <v>3</v>
      </c>
      <c r="E6" s="0" t="n">
        <f aca="false">ROUND(G6,0)</f>
        <v>18</v>
      </c>
      <c r="F6" s="13" t="n">
        <v>44</v>
      </c>
      <c r="G6" s="1" t="n">
        <v>17.6</v>
      </c>
      <c r="I6" s="16" t="s">
        <v>16</v>
      </c>
      <c r="J6" s="17" t="n">
        <v>3</v>
      </c>
    </row>
    <row r="7" customFormat="false" ht="13.8" hidden="false" customHeight="false" outlineLevel="0" collapsed="false">
      <c r="A7" s="11"/>
      <c r="B7" s="13"/>
      <c r="C7" s="1" t="n">
        <v>3</v>
      </c>
      <c r="D7" s="13" t="n">
        <v>4</v>
      </c>
      <c r="E7" s="0" t="n">
        <f aca="false">ROUND(G7,0)</f>
        <v>27</v>
      </c>
      <c r="F7" s="13" t="n">
        <v>45</v>
      </c>
      <c r="G7" s="1" t="n">
        <v>27</v>
      </c>
      <c r="I7" s="16" t="s">
        <v>17</v>
      </c>
      <c r="J7" s="17" t="n">
        <v>4</v>
      </c>
    </row>
    <row r="8" customFormat="false" ht="13.8" hidden="false" customHeight="false" outlineLevel="0" collapsed="false">
      <c r="A8" s="11" t="n">
        <v>2005</v>
      </c>
      <c r="B8" s="1" t="s">
        <v>18</v>
      </c>
      <c r="C8" s="1" t="n">
        <v>4</v>
      </c>
      <c r="D8" s="13" t="n">
        <v>2</v>
      </c>
      <c r="E8" s="0" t="n">
        <f aca="false">ROUND(G8,0)</f>
        <v>185</v>
      </c>
      <c r="F8" s="13" t="n">
        <v>463</v>
      </c>
      <c r="G8" s="1" t="n">
        <v>185.1</v>
      </c>
      <c r="I8" s="16" t="s">
        <v>19</v>
      </c>
      <c r="J8" s="17" t="n">
        <v>5</v>
      </c>
    </row>
    <row r="9" customFormat="false" ht="13.8" hidden="false" customHeight="false" outlineLevel="0" collapsed="false">
      <c r="A9" s="11"/>
      <c r="B9" s="13"/>
      <c r="C9" s="1" t="n">
        <v>4</v>
      </c>
      <c r="D9" s="12" t="n">
        <v>4</v>
      </c>
      <c r="E9" s="0" t="n">
        <f aca="false">ROUND(G9,0)</f>
        <v>275</v>
      </c>
      <c r="F9" s="13" t="n">
        <v>458</v>
      </c>
      <c r="G9" s="1" t="n">
        <v>274.8</v>
      </c>
      <c r="I9" s="16" t="s">
        <v>20</v>
      </c>
      <c r="J9" s="17" t="n">
        <v>6</v>
      </c>
    </row>
    <row r="10" customFormat="false" ht="13.8" hidden="false" customHeight="false" outlineLevel="0" collapsed="false">
      <c r="A10" s="11" t="n">
        <v>2007</v>
      </c>
      <c r="B10" s="1" t="s">
        <v>21</v>
      </c>
      <c r="C10" s="1" t="n">
        <v>5</v>
      </c>
      <c r="D10" s="13" t="n">
        <v>3</v>
      </c>
      <c r="E10" s="0" t="n">
        <f aca="false">ROUND(G10,0)</f>
        <v>11</v>
      </c>
      <c r="F10" s="13" t="n">
        <v>90</v>
      </c>
      <c r="G10" s="13" t="n">
        <v>11</v>
      </c>
      <c r="I10" s="16" t="s">
        <v>22</v>
      </c>
      <c r="J10" s="17" t="n">
        <v>7</v>
      </c>
    </row>
    <row r="11" customFormat="false" ht="13.8" hidden="false" customHeight="false" outlineLevel="0" collapsed="false">
      <c r="A11" s="11"/>
      <c r="B11" s="13"/>
      <c r="C11" s="1" t="n">
        <v>5</v>
      </c>
      <c r="D11" s="12" t="n">
        <v>5</v>
      </c>
      <c r="E11" s="0" t="n">
        <f aca="false">ROUND(G11,0)</f>
        <v>130</v>
      </c>
      <c r="F11" s="13" t="n">
        <v>176</v>
      </c>
      <c r="G11" s="1" t="n">
        <v>130</v>
      </c>
      <c r="I11" s="16" t="s">
        <v>23</v>
      </c>
      <c r="J11" s="17" t="n">
        <v>8</v>
      </c>
    </row>
    <row r="12" customFormat="false" ht="13.8" hidden="false" customHeight="false" outlineLevel="0" collapsed="false">
      <c r="A12" s="11" t="n">
        <v>2003</v>
      </c>
      <c r="B12" s="1" t="s">
        <v>24</v>
      </c>
      <c r="C12" s="1" t="n">
        <v>6</v>
      </c>
      <c r="D12" s="13" t="n">
        <v>3</v>
      </c>
      <c r="E12" s="0" t="n">
        <f aca="false">ROUND(G12,0)</f>
        <v>36</v>
      </c>
      <c r="F12" s="13" t="n">
        <v>171</v>
      </c>
      <c r="G12" s="13" t="n">
        <v>36</v>
      </c>
    </row>
    <row r="13" customFormat="false" ht="13.8" hidden="false" customHeight="false" outlineLevel="0" collapsed="false">
      <c r="A13" s="11"/>
      <c r="C13" s="1" t="n">
        <v>6</v>
      </c>
      <c r="D13" s="12" t="n">
        <v>6</v>
      </c>
      <c r="E13" s="0" t="n">
        <f aca="false">ROUND(G13,0)</f>
        <v>0</v>
      </c>
      <c r="F13" s="13" t="n">
        <v>167</v>
      </c>
      <c r="G13" s="13" t="n">
        <v>0</v>
      </c>
      <c r="H13" s="18"/>
      <c r="I13" s="5"/>
      <c r="J13" s="19"/>
      <c r="K13" s="18"/>
    </row>
    <row r="14" customFormat="false" ht="13.8" hidden="false" customHeight="false" outlineLevel="0" collapsed="false">
      <c r="A14" s="11" t="n">
        <v>2003</v>
      </c>
      <c r="B14" s="1" t="s">
        <v>25</v>
      </c>
      <c r="C14" s="1" t="n">
        <v>7</v>
      </c>
      <c r="D14" s="13" t="n">
        <v>2</v>
      </c>
      <c r="E14" s="0" t="n">
        <f aca="false">ROUND(G14,0)</f>
        <v>23</v>
      </c>
      <c r="F14" s="13" t="n">
        <v>56</v>
      </c>
      <c r="G14" s="13" t="n">
        <v>23</v>
      </c>
      <c r="H14" s="18"/>
      <c r="I14" s="18"/>
      <c r="J14" s="5"/>
      <c r="K14" s="20"/>
    </row>
    <row r="15" customFormat="false" ht="13.8" hidden="false" customHeight="false" outlineLevel="0" collapsed="false">
      <c r="A15" s="11"/>
      <c r="C15" s="1" t="n">
        <v>7</v>
      </c>
      <c r="D15" s="12" t="n">
        <v>7</v>
      </c>
      <c r="E15" s="0" t="n">
        <f aca="false">ROUND(G15,0)</f>
        <v>21</v>
      </c>
      <c r="F15" s="13" t="n">
        <v>54</v>
      </c>
      <c r="G15" s="13" t="n">
        <v>21</v>
      </c>
      <c r="H15" s="18"/>
      <c r="I15" s="18"/>
      <c r="J15" s="19"/>
      <c r="K15" s="21"/>
    </row>
    <row r="16" customFormat="false" ht="13.8" hidden="false" customHeight="false" outlineLevel="0" collapsed="false">
      <c r="A16" s="11" t="n">
        <v>2005</v>
      </c>
      <c r="B16" s="1" t="s">
        <v>26</v>
      </c>
      <c r="C16" s="1" t="n">
        <v>8</v>
      </c>
      <c r="D16" s="13" t="n">
        <v>2</v>
      </c>
      <c r="E16" s="0" t="n">
        <f aca="false">ROUND(G16,0)</f>
        <v>6</v>
      </c>
      <c r="F16" s="1" t="n">
        <v>19</v>
      </c>
      <c r="G16" s="1" t="n">
        <v>6.1</v>
      </c>
      <c r="H16" s="18"/>
      <c r="I16" s="18"/>
      <c r="J16" s="19"/>
      <c r="K16" s="20"/>
    </row>
    <row r="17" customFormat="false" ht="13.8" hidden="false" customHeight="false" outlineLevel="0" collapsed="false">
      <c r="A17" s="11"/>
      <c r="C17" s="1" t="n">
        <v>8</v>
      </c>
      <c r="D17" s="11" t="n">
        <v>4</v>
      </c>
      <c r="E17" s="0" t="n">
        <f aca="false">ROUND(G17,0)</f>
        <v>27</v>
      </c>
      <c r="F17" s="13" t="n">
        <v>44</v>
      </c>
      <c r="G17" s="1" t="n">
        <v>26.8</v>
      </c>
      <c r="H17" s="18"/>
      <c r="I17" s="18"/>
      <c r="J17" s="19"/>
      <c r="K17" s="21"/>
    </row>
    <row r="18" customFormat="false" ht="13.8" hidden="false" customHeight="false" outlineLevel="0" collapsed="false">
      <c r="A18" s="11"/>
      <c r="C18" s="1" t="n">
        <v>8</v>
      </c>
      <c r="D18" s="22" t="n">
        <v>8</v>
      </c>
      <c r="E18" s="0" t="n">
        <f aca="false">ROUND(G18,0)</f>
        <v>20</v>
      </c>
      <c r="F18" s="13" t="n">
        <v>41</v>
      </c>
      <c r="G18" s="1" t="n">
        <v>20.1</v>
      </c>
      <c r="H18" s="18"/>
      <c r="I18" s="18"/>
      <c r="J18" s="19"/>
      <c r="K18" s="21"/>
    </row>
    <row r="19" customFormat="false" ht="13.8" hidden="false" customHeight="false" outlineLevel="0" collapsed="false">
      <c r="A19" s="11" t="n">
        <v>2006</v>
      </c>
      <c r="B19" s="1" t="s">
        <v>27</v>
      </c>
      <c r="C19" s="1" t="n">
        <v>9</v>
      </c>
      <c r="D19" s="13" t="n">
        <v>1</v>
      </c>
      <c r="E19" s="0" t="n">
        <f aca="false">ROUND(G19,0)</f>
        <v>196</v>
      </c>
      <c r="F19" s="13" t="n">
        <v>258</v>
      </c>
      <c r="G19" s="1" t="n">
        <v>196.1</v>
      </c>
      <c r="H19" s="18"/>
      <c r="I19" s="18"/>
      <c r="J19" s="19"/>
      <c r="K19" s="20"/>
    </row>
    <row r="20" customFormat="false" ht="13.8" hidden="false" customHeight="false" outlineLevel="0" collapsed="false">
      <c r="A20" s="11"/>
      <c r="C20" s="1" t="n">
        <v>9</v>
      </c>
      <c r="D20" s="13" t="n">
        <v>2</v>
      </c>
      <c r="E20" s="0" t="n">
        <f aca="false">ROUND(G20,0)</f>
        <v>112</v>
      </c>
      <c r="F20" s="13" t="n">
        <v>261</v>
      </c>
      <c r="G20" s="1" t="n">
        <v>112.2</v>
      </c>
      <c r="H20" s="18"/>
      <c r="I20" s="18"/>
      <c r="J20" s="19"/>
      <c r="K20" s="21"/>
    </row>
    <row r="21" customFormat="false" ht="13.8" hidden="false" customHeight="false" outlineLevel="0" collapsed="false">
      <c r="A21" s="11" t="n">
        <v>2003</v>
      </c>
      <c r="B21" s="1" t="s">
        <v>28</v>
      </c>
      <c r="C21" s="1" t="n">
        <v>10</v>
      </c>
      <c r="D21" s="1" t="n">
        <v>2</v>
      </c>
      <c r="E21" s="0" t="n">
        <f aca="false">ROUND(G21,0)</f>
        <v>34</v>
      </c>
      <c r="F21" s="13" t="n">
        <v>99</v>
      </c>
      <c r="G21" s="1" t="n">
        <v>34</v>
      </c>
      <c r="H21" s="18"/>
      <c r="I21" s="18"/>
      <c r="J21" s="19"/>
      <c r="K21" s="20"/>
    </row>
    <row r="22" customFormat="false" ht="13.8" hidden="false" customHeight="false" outlineLevel="0" collapsed="false">
      <c r="C22" s="1" t="n">
        <v>10</v>
      </c>
      <c r="D22" s="1" t="n">
        <v>6</v>
      </c>
      <c r="E22" s="0" t="n">
        <f aca="false">ROUND(G22,0)</f>
        <v>8</v>
      </c>
      <c r="F22" s="13" t="n">
        <v>47</v>
      </c>
      <c r="G22" s="13" t="n">
        <v>8</v>
      </c>
      <c r="H22" s="18"/>
      <c r="I22" s="18"/>
      <c r="J22" s="19"/>
      <c r="K22" s="20"/>
    </row>
    <row r="145" customFormat="false" ht="15.75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FF637E6-F663-4B29-B684-321057542718}"/>
</file>

<file path=customXml/itemProps2.xml><?xml version="1.0" encoding="utf-8"?>
<ds:datastoreItem xmlns:ds="http://schemas.openxmlformats.org/officeDocument/2006/customXml" ds:itemID="{44CD9DE4-9194-4E6D-AC1C-AF465E86928E}"/>
</file>

<file path=customXml/itemProps3.xml><?xml version="1.0" encoding="utf-8"?>
<ds:datastoreItem xmlns:ds="http://schemas.openxmlformats.org/officeDocument/2006/customXml" ds:itemID="{AEB55C79-1AA3-43AC-B161-540CF3B22676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Areti-Angeliki Veroniki</dc:creator>
  <dc:description/>
  <cp:lastModifiedBy>Theodore Papakonstantinou</cp:lastModifiedBy>
  <cp:revision>1</cp:revision>
  <dcterms:created xsi:type="dcterms:W3CDTF">2015-01-03T03:55:58Z</dcterms:created>
  <dcterms:modified xsi:type="dcterms:W3CDTF">2019-05-02T11:16:58Z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0x0101002D837B8920D00D4A8EFA68CF1C62BCD5</vt:lpwstr>
  </property>
</Properties>
</file>