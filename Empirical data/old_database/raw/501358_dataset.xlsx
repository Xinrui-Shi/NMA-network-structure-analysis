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4505" yWindow="-15" windowWidth="14310" windowHeight="12840"/>
  </bookViews>
  <sheets>
    <sheet name="Sheet1" sheetId="1" r:id="rId1"/>
    <sheet name="Sheet2" sheetId="2" r:id="rId2"/>
    <sheet name="Sheet3" sheetId="3" r:id="rId3"/>
  </sheets>
  <calcPr calcId="144525"/>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2" i="1"/>
</calcChain>
</file>

<file path=xl/sharedStrings.xml><?xml version="1.0" encoding="utf-8"?>
<sst xmlns="http://schemas.openxmlformats.org/spreadsheetml/2006/main" count="21" uniqueCount="21">
  <si>
    <t>id</t>
  </si>
  <si>
    <t>Beneficial</t>
  </si>
  <si>
    <t>Intervention</t>
  </si>
  <si>
    <t>Code</t>
  </si>
  <si>
    <t>Adjustable gastric banding (AGB)</t>
  </si>
  <si>
    <t>Roux-en-Y Gastic bypass (RYGB)</t>
  </si>
  <si>
    <t>Standard care (diet and exercise)</t>
  </si>
  <si>
    <t>Jejunoileal bypass (JB)</t>
  </si>
  <si>
    <t>Sleeve Gastrectomy with JB</t>
  </si>
  <si>
    <t>Bioliopancreatic diversion (BPD)</t>
  </si>
  <si>
    <t>Horizontal (un-banded) Gastroplasty (HG)</t>
  </si>
  <si>
    <t>Vertical Banded Gastroplasty (VBG)</t>
  </si>
  <si>
    <t xml:space="preserve">Mini-Gastric bypass </t>
  </si>
  <si>
    <t>Sleeve Gastrectomy (SG)</t>
  </si>
  <si>
    <r>
      <t>Outcome:</t>
    </r>
    <r>
      <rPr>
        <sz val="11"/>
        <color theme="1"/>
        <rFont val="Calibri"/>
        <family val="2"/>
      </rPr>
      <t xml:space="preserve"> influence of bariatric surgery on weight</t>
    </r>
  </si>
  <si>
    <t>This data was sent to us from the author, it is based on a 1-year update of the original NMA that includes 5 additional studies and 1 additional treatment. The code the author sent us did not contain any identifying information for the trials and thus it is impossible to determine which were originally included in the NMA and which are from the update</t>
  </si>
  <si>
    <t>t</t>
  </si>
  <si>
    <t>y</t>
  </si>
  <si>
    <t>n</t>
  </si>
  <si>
    <t>se</t>
  </si>
  <si>
    <t>sd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</si>
</sst>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theme="1"/>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xf numFmtId="0" fontId="0" fillId="0" borderId="0" xfId="0" applyAlignment="1">
      <alignment horizontal="left"/>
    </xf>
    <xf numFmtId="0" fontId="1" fillId="0" borderId="0" xfId="0" applyFont="1" applyAlignment="1">
      <alignment horizontal="center" vertical="center"/>
    </xf>
    <xf numFmtId="0" fontId="0" fillId="2" borderId="0" xfId="0" applyFill="1" applyAlignment="1">
      <alignment horizontal="center" vertical="center"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abSelected="1" workbookViewId="0">
      <selection activeCell="P15" sqref="P15"/>
    </sheetView>
  </sheetViews>
  <sheetFormatPr defaultColWidth="9.140625" defaultRowHeight="15" x14ac:dyDescent="0.25"/>
  <cols>
    <col min="1" max="4" width="9.140625" style="1"/>
    <col min="7" max="7" width="9.7109375" customWidth="1"/>
    <col min="8" max="8" width="37.7109375" customWidth="1"/>
  </cols>
  <sheetData>
    <row r="1" spans="1:10" x14ac:dyDescent="0.25">
      <c r="A1" s="4" t="s">
        <v>0</v>
      </c>
      <c r="B1" s="4" t="s">
        <v>16</v>
      </c>
      <c r="C1" s="4" t="s">
        <v>17</v>
      </c>
      <c r="D1" s="4" t="s">
        <v>19</v>
      </c>
      <c r="E1" s="4" t="s">
        <v>18</v>
      </c>
      <c r="F1" s="4" t="s">
        <v>20</v>
      </c>
      <c r="G1" s="2" t="s">
        <v>1</v>
      </c>
      <c r="H1" s="2" t="s">
        <v>14</v>
      </c>
    </row>
    <row r="2" spans="1:10" x14ac:dyDescent="0.25">
      <c r="A2" s="1">
        <v>1</v>
      </c>
      <c r="B2" s="1">
        <v>9</v>
      </c>
      <c r="C2" s="1">
        <v>-16.2</v>
      </c>
      <c r="D2" s="1">
        <v>0.9</v>
      </c>
      <c r="E2" s="1">
        <v>16</v>
      </c>
      <c r="F2" s="1">
        <f>D2*SQRT(E2)</f>
        <v>3.6</v>
      </c>
    </row>
    <row r="3" spans="1:10" x14ac:dyDescent="0.25">
      <c r="A3" s="1">
        <v>1</v>
      </c>
      <c r="B3" s="1">
        <v>1</v>
      </c>
      <c r="C3" s="1">
        <v>-15.1</v>
      </c>
      <c r="D3" s="1">
        <v>0.89</v>
      </c>
      <c r="E3" s="1">
        <v>16</v>
      </c>
      <c r="F3" s="1">
        <f t="shared" ref="F3:F41" si="0">D3*SQRT(E3)</f>
        <v>3.56</v>
      </c>
      <c r="H3" s="2" t="s">
        <v>2</v>
      </c>
      <c r="I3" s="2" t="s">
        <v>3</v>
      </c>
    </row>
    <row r="4" spans="1:10" x14ac:dyDescent="0.25">
      <c r="A4" s="1">
        <v>2</v>
      </c>
      <c r="B4" s="1">
        <v>2</v>
      </c>
      <c r="C4" s="1">
        <v>-4.7</v>
      </c>
      <c r="D4" s="1">
        <v>0.82</v>
      </c>
      <c r="E4" s="1">
        <v>26</v>
      </c>
      <c r="F4" s="1">
        <f t="shared" si="0"/>
        <v>4.1811960011460831</v>
      </c>
      <c r="H4" t="s">
        <v>5</v>
      </c>
      <c r="I4" s="3">
        <v>1</v>
      </c>
    </row>
    <row r="5" spans="1:10" x14ac:dyDescent="0.25">
      <c r="A5" s="1">
        <v>2</v>
      </c>
      <c r="B5" s="1">
        <v>1</v>
      </c>
      <c r="C5" s="1">
        <v>-8.4</v>
      </c>
      <c r="D5" s="1">
        <v>0.84</v>
      </c>
      <c r="E5" s="1">
        <v>24</v>
      </c>
      <c r="F5" s="1">
        <f t="shared" si="0"/>
        <v>4.1151427678757386</v>
      </c>
      <c r="H5" t="s">
        <v>4</v>
      </c>
      <c r="I5" s="3">
        <v>2</v>
      </c>
    </row>
    <row r="6" spans="1:10" x14ac:dyDescent="0.25">
      <c r="A6" s="1">
        <v>3</v>
      </c>
      <c r="B6" s="1">
        <v>1</v>
      </c>
      <c r="C6" s="1">
        <v>-16.899999999999999</v>
      </c>
      <c r="D6" s="1">
        <v>0.62</v>
      </c>
      <c r="E6" s="1">
        <v>62</v>
      </c>
      <c r="F6" s="1">
        <f t="shared" si="0"/>
        <v>4.8818848818873226</v>
      </c>
      <c r="H6" t="s">
        <v>11</v>
      </c>
      <c r="I6" s="3">
        <v>3</v>
      </c>
    </row>
    <row r="7" spans="1:10" x14ac:dyDescent="0.25">
      <c r="A7" s="1">
        <v>3</v>
      </c>
      <c r="B7" s="1">
        <v>6</v>
      </c>
      <c r="C7" s="1">
        <v>-19.2</v>
      </c>
      <c r="D7" s="1">
        <v>0.33</v>
      </c>
      <c r="E7" s="1">
        <v>56</v>
      </c>
      <c r="F7" s="1">
        <f t="shared" si="0"/>
        <v>2.4694938752708016</v>
      </c>
      <c r="H7" t="s">
        <v>6</v>
      </c>
      <c r="I7" s="3">
        <v>4</v>
      </c>
    </row>
    <row r="8" spans="1:10" x14ac:dyDescent="0.25">
      <c r="A8" s="1">
        <v>4</v>
      </c>
      <c r="B8" s="1">
        <v>2</v>
      </c>
      <c r="C8" s="1">
        <v>-11.7</v>
      </c>
      <c r="D8" s="1">
        <v>0.88</v>
      </c>
      <c r="E8" s="1">
        <v>50</v>
      </c>
      <c r="F8" s="1">
        <f t="shared" si="0"/>
        <v>6.2225396744416184</v>
      </c>
      <c r="H8" t="s">
        <v>10</v>
      </c>
      <c r="I8" s="3">
        <v>5</v>
      </c>
    </row>
    <row r="9" spans="1:10" x14ac:dyDescent="0.25">
      <c r="A9" s="1">
        <v>4</v>
      </c>
      <c r="B9" s="1">
        <v>3</v>
      </c>
      <c r="C9" s="1">
        <v>-15.5</v>
      </c>
      <c r="D9" s="1">
        <v>0.89</v>
      </c>
      <c r="E9" s="1">
        <v>50</v>
      </c>
      <c r="F9" s="1">
        <f t="shared" si="0"/>
        <v>6.293250352560273</v>
      </c>
      <c r="H9" t="s">
        <v>9</v>
      </c>
      <c r="I9" s="3">
        <v>6</v>
      </c>
    </row>
    <row r="10" spans="1:10" x14ac:dyDescent="0.25">
      <c r="A10" s="1">
        <v>5</v>
      </c>
      <c r="B10" s="1">
        <v>8</v>
      </c>
      <c r="C10" s="1">
        <v>-16.100000000000001</v>
      </c>
      <c r="D10" s="1">
        <v>1.21</v>
      </c>
      <c r="E10" s="1">
        <v>40</v>
      </c>
      <c r="F10" s="1">
        <f t="shared" si="0"/>
        <v>7.6527119376074779</v>
      </c>
      <c r="H10" t="s">
        <v>7</v>
      </c>
      <c r="I10" s="3">
        <v>7</v>
      </c>
    </row>
    <row r="11" spans="1:10" x14ac:dyDescent="0.25">
      <c r="A11" s="1">
        <v>5</v>
      </c>
      <c r="B11" s="1">
        <v>1</v>
      </c>
      <c r="C11" s="1">
        <v>-13.6</v>
      </c>
      <c r="D11" s="1">
        <v>0.79</v>
      </c>
      <c r="E11" s="1">
        <v>40</v>
      </c>
      <c r="F11" s="1">
        <f t="shared" si="0"/>
        <v>4.9963987030660402</v>
      </c>
      <c r="H11" t="s">
        <v>12</v>
      </c>
      <c r="I11" s="3">
        <v>8</v>
      </c>
    </row>
    <row r="12" spans="1:10" x14ac:dyDescent="0.25">
      <c r="A12" s="1">
        <v>6</v>
      </c>
      <c r="B12" s="1">
        <v>1</v>
      </c>
      <c r="C12" s="1">
        <v>-13.81</v>
      </c>
      <c r="D12" s="1">
        <v>0.57999999999999996</v>
      </c>
      <c r="E12" s="1">
        <v>36</v>
      </c>
      <c r="F12" s="1">
        <f t="shared" si="0"/>
        <v>3.4799999999999995</v>
      </c>
      <c r="H12" t="s">
        <v>13</v>
      </c>
      <c r="I12" s="3">
        <v>9</v>
      </c>
    </row>
    <row r="13" spans="1:10" x14ac:dyDescent="0.25">
      <c r="A13" s="1">
        <v>6</v>
      </c>
      <c r="B13" s="1">
        <v>3</v>
      </c>
      <c r="C13" s="1">
        <v>-10.23</v>
      </c>
      <c r="D13" s="1">
        <v>0.59</v>
      </c>
      <c r="E13" s="1">
        <v>39</v>
      </c>
      <c r="F13" s="1">
        <f t="shared" si="0"/>
        <v>3.6845488190550548</v>
      </c>
      <c r="H13" t="s">
        <v>8</v>
      </c>
      <c r="I13" s="3">
        <v>10</v>
      </c>
    </row>
    <row r="14" spans="1:10" x14ac:dyDescent="0.25">
      <c r="A14" s="1">
        <v>7</v>
      </c>
      <c r="B14" s="1">
        <v>1</v>
      </c>
      <c r="C14" s="1">
        <v>-13.58</v>
      </c>
      <c r="D14" s="1">
        <v>1.19</v>
      </c>
      <c r="E14" s="1">
        <v>40</v>
      </c>
      <c r="F14" s="1">
        <f t="shared" si="0"/>
        <v>7.5262208312007433</v>
      </c>
    </row>
    <row r="15" spans="1:10" x14ac:dyDescent="0.25">
      <c r="A15" s="1">
        <v>7</v>
      </c>
      <c r="B15" s="1">
        <v>3</v>
      </c>
      <c r="C15" s="1">
        <v>-12.04</v>
      </c>
      <c r="D15" s="1">
        <v>0.96</v>
      </c>
      <c r="E15" s="1">
        <v>40</v>
      </c>
      <c r="F15" s="1">
        <f t="shared" si="0"/>
        <v>6.0715731075232888</v>
      </c>
    </row>
    <row r="16" spans="1:10" x14ac:dyDescent="0.25">
      <c r="A16" s="1">
        <v>8</v>
      </c>
      <c r="B16" s="1">
        <v>2</v>
      </c>
      <c r="C16" s="1">
        <v>-9.1999999999999993</v>
      </c>
      <c r="D16" s="1">
        <v>0.32</v>
      </c>
      <c r="E16" s="1">
        <v>94</v>
      </c>
      <c r="F16" s="1">
        <f t="shared" si="0"/>
        <v>3.1025151087464509</v>
      </c>
      <c r="H16" s="5" t="s">
        <v>15</v>
      </c>
      <c r="I16" s="5"/>
      <c r="J16" s="5"/>
    </row>
    <row r="17" spans="1:10" x14ac:dyDescent="0.25">
      <c r="A17" s="1">
        <v>8</v>
      </c>
      <c r="B17" s="1">
        <v>3</v>
      </c>
      <c r="C17" s="1">
        <v>-14.1</v>
      </c>
      <c r="D17" s="1">
        <v>0.31</v>
      </c>
      <c r="E17" s="1">
        <v>51</v>
      </c>
      <c r="F17" s="1">
        <f t="shared" si="0"/>
        <v>2.2138428128482834</v>
      </c>
      <c r="H17" s="5"/>
      <c r="I17" s="5"/>
      <c r="J17" s="5"/>
    </row>
    <row r="18" spans="1:10" x14ac:dyDescent="0.25">
      <c r="A18" s="1">
        <v>9</v>
      </c>
      <c r="B18" s="1">
        <v>6</v>
      </c>
      <c r="C18" s="1">
        <v>-13.1</v>
      </c>
      <c r="D18" s="1">
        <v>1.26</v>
      </c>
      <c r="E18" s="1">
        <v>31</v>
      </c>
      <c r="F18" s="1">
        <f t="shared" si="0"/>
        <v>7.0153830971658273</v>
      </c>
      <c r="H18" s="5"/>
      <c r="I18" s="5"/>
      <c r="J18" s="5"/>
    </row>
    <row r="19" spans="1:10" x14ac:dyDescent="0.25">
      <c r="A19" s="1">
        <v>9</v>
      </c>
      <c r="B19" s="1">
        <v>4</v>
      </c>
      <c r="C19" s="1">
        <v>-4.5999999999999996</v>
      </c>
      <c r="D19" s="1">
        <v>1.82</v>
      </c>
      <c r="E19" s="1">
        <v>21</v>
      </c>
      <c r="F19" s="1">
        <f t="shared" si="0"/>
        <v>8.3402877648196281</v>
      </c>
      <c r="H19" s="5"/>
      <c r="I19" s="5"/>
      <c r="J19" s="5"/>
    </row>
    <row r="20" spans="1:10" x14ac:dyDescent="0.25">
      <c r="A20" s="1">
        <v>10</v>
      </c>
      <c r="B20" s="1">
        <v>6</v>
      </c>
      <c r="C20" s="1">
        <v>-17.600000000000001</v>
      </c>
      <c r="D20" s="1">
        <v>1.22</v>
      </c>
      <c r="E20" s="1">
        <v>15</v>
      </c>
      <c r="F20" s="1">
        <f t="shared" si="0"/>
        <v>4.7250396823730485</v>
      </c>
      <c r="H20" s="5"/>
      <c r="I20" s="5"/>
      <c r="J20" s="5"/>
    </row>
    <row r="21" spans="1:10" x14ac:dyDescent="0.25">
      <c r="A21" s="1">
        <v>10</v>
      </c>
      <c r="B21" s="1">
        <v>4</v>
      </c>
      <c r="C21" s="1">
        <v>-3</v>
      </c>
      <c r="D21" s="1">
        <v>2.4900000000000002</v>
      </c>
      <c r="E21" s="1">
        <v>12</v>
      </c>
      <c r="F21" s="1">
        <f t="shared" si="0"/>
        <v>8.6256130216930096</v>
      </c>
      <c r="H21" s="5"/>
      <c r="I21" s="5"/>
      <c r="J21" s="5"/>
    </row>
    <row r="22" spans="1:10" x14ac:dyDescent="0.25">
      <c r="A22" s="1">
        <v>11</v>
      </c>
      <c r="B22" s="1">
        <v>1</v>
      </c>
      <c r="C22" s="1">
        <v>-18.75</v>
      </c>
      <c r="D22" s="1">
        <v>2.54</v>
      </c>
      <c r="E22" s="1">
        <v>18</v>
      </c>
      <c r="F22" s="1">
        <f t="shared" si="0"/>
        <v>10.776307345282984</v>
      </c>
      <c r="H22" s="5"/>
      <c r="I22" s="5"/>
      <c r="J22" s="5"/>
    </row>
    <row r="23" spans="1:10" x14ac:dyDescent="0.25">
      <c r="A23" s="1">
        <v>11</v>
      </c>
      <c r="B23" s="1">
        <v>3</v>
      </c>
      <c r="C23" s="1">
        <v>-12.25</v>
      </c>
      <c r="D23" s="1">
        <v>2.56</v>
      </c>
      <c r="E23" s="1">
        <v>16</v>
      </c>
      <c r="F23" s="1">
        <f t="shared" si="0"/>
        <v>10.24</v>
      </c>
    </row>
    <row r="24" spans="1:10" x14ac:dyDescent="0.25">
      <c r="A24" s="1">
        <v>12</v>
      </c>
      <c r="B24" s="1">
        <v>1</v>
      </c>
      <c r="C24" s="1">
        <v>-18.25</v>
      </c>
      <c r="D24" s="1">
        <v>1.1200000000000001</v>
      </c>
      <c r="E24" s="1">
        <v>29</v>
      </c>
      <c r="F24" s="1">
        <f t="shared" si="0"/>
        <v>6.0313845839906444</v>
      </c>
    </row>
    <row r="25" spans="1:10" x14ac:dyDescent="0.25">
      <c r="A25" s="1">
        <v>12</v>
      </c>
      <c r="B25" s="1">
        <v>5</v>
      </c>
      <c r="C25" s="1">
        <v>-12.75</v>
      </c>
      <c r="D25" s="1">
        <v>1.07</v>
      </c>
      <c r="E25" s="1">
        <v>28</v>
      </c>
      <c r="F25" s="1">
        <f t="shared" si="0"/>
        <v>5.6619078056782248</v>
      </c>
    </row>
    <row r="26" spans="1:10" x14ac:dyDescent="0.25">
      <c r="A26" s="1">
        <v>13</v>
      </c>
      <c r="B26" s="1">
        <v>1</v>
      </c>
      <c r="C26" s="1">
        <v>-16</v>
      </c>
      <c r="D26" s="1">
        <v>0.9</v>
      </c>
      <c r="E26" s="1">
        <v>15</v>
      </c>
      <c r="F26" s="1">
        <f t="shared" si="0"/>
        <v>3.4856850115866753</v>
      </c>
    </row>
    <row r="27" spans="1:10" x14ac:dyDescent="0.25">
      <c r="A27" s="1">
        <v>13</v>
      </c>
      <c r="B27" s="1">
        <v>5</v>
      </c>
      <c r="C27" s="1">
        <v>-13.53</v>
      </c>
      <c r="D27" s="1">
        <v>1.24</v>
      </c>
      <c r="E27" s="1">
        <v>14</v>
      </c>
      <c r="F27" s="1">
        <f t="shared" si="0"/>
        <v>4.6396551595996876</v>
      </c>
    </row>
    <row r="28" spans="1:10" x14ac:dyDescent="0.25">
      <c r="A28" s="1">
        <v>14</v>
      </c>
      <c r="B28" s="1">
        <v>1</v>
      </c>
      <c r="C28" s="1">
        <v>-11</v>
      </c>
      <c r="D28" s="1">
        <v>3.33</v>
      </c>
      <c r="E28" s="1">
        <v>11</v>
      </c>
      <c r="F28" s="1">
        <f t="shared" si="0"/>
        <v>11.044360551883482</v>
      </c>
    </row>
    <row r="29" spans="1:10" x14ac:dyDescent="0.25">
      <c r="A29" s="1">
        <v>14</v>
      </c>
      <c r="B29" s="1">
        <v>7</v>
      </c>
      <c r="C29" s="1">
        <v>-13.25</v>
      </c>
      <c r="D29" s="1">
        <v>3.69</v>
      </c>
      <c r="E29" s="1">
        <v>9</v>
      </c>
      <c r="F29" s="1">
        <f t="shared" si="0"/>
        <v>11.07</v>
      </c>
    </row>
    <row r="30" spans="1:10" x14ac:dyDescent="0.25">
      <c r="A30" s="1">
        <v>15</v>
      </c>
      <c r="B30" s="1">
        <v>2</v>
      </c>
      <c r="C30" s="1">
        <v>-8.1999999999999993</v>
      </c>
      <c r="D30" s="1">
        <v>0.6</v>
      </c>
      <c r="E30" s="1">
        <v>86</v>
      </c>
      <c r="F30" s="1">
        <f t="shared" si="0"/>
        <v>5.5641710972974225</v>
      </c>
    </row>
    <row r="31" spans="1:10" x14ac:dyDescent="0.25">
      <c r="A31" s="1">
        <v>15</v>
      </c>
      <c r="B31" s="1">
        <v>1</v>
      </c>
      <c r="C31" s="1">
        <v>-15.9</v>
      </c>
      <c r="D31" s="1">
        <v>0.49</v>
      </c>
      <c r="E31" s="1">
        <v>111</v>
      </c>
      <c r="F31" s="1">
        <f t="shared" si="0"/>
        <v>5.1624703388978412</v>
      </c>
    </row>
    <row r="32" spans="1:10" x14ac:dyDescent="0.25">
      <c r="A32" s="1">
        <v>16</v>
      </c>
      <c r="B32" s="1">
        <v>3</v>
      </c>
      <c r="C32" s="1">
        <v>-14.58</v>
      </c>
      <c r="D32" s="1">
        <v>2.13</v>
      </c>
      <c r="E32" s="1">
        <v>27</v>
      </c>
      <c r="F32" s="1">
        <f t="shared" si="0"/>
        <v>11.067804660365125</v>
      </c>
    </row>
    <row r="33" spans="1:6" x14ac:dyDescent="0.25">
      <c r="A33" s="1">
        <v>16</v>
      </c>
      <c r="B33" s="1">
        <v>8</v>
      </c>
      <c r="C33" s="1">
        <v>-19.149999999999999</v>
      </c>
      <c r="D33" s="1">
        <v>2.21</v>
      </c>
      <c r="E33" s="1">
        <v>25</v>
      </c>
      <c r="F33" s="1">
        <f t="shared" si="0"/>
        <v>11.05</v>
      </c>
    </row>
    <row r="34" spans="1:6" x14ac:dyDescent="0.25">
      <c r="A34" s="1">
        <v>17</v>
      </c>
      <c r="B34" s="1">
        <v>1</v>
      </c>
      <c r="C34" s="1">
        <v>-16.399999999999999</v>
      </c>
      <c r="D34" s="1">
        <v>0.74</v>
      </c>
      <c r="E34" s="1">
        <v>29</v>
      </c>
      <c r="F34" s="1">
        <f t="shared" si="0"/>
        <v>3.9850219572795327</v>
      </c>
    </row>
    <row r="35" spans="1:6" x14ac:dyDescent="0.25">
      <c r="A35" s="1">
        <v>17</v>
      </c>
      <c r="B35" s="1">
        <v>9</v>
      </c>
      <c r="C35" s="1">
        <v>-18.23</v>
      </c>
      <c r="D35" s="1">
        <v>0.69</v>
      </c>
      <c r="E35" s="1">
        <v>30</v>
      </c>
      <c r="F35" s="1">
        <f t="shared" si="0"/>
        <v>3.7792856467856457</v>
      </c>
    </row>
    <row r="36" spans="1:6" x14ac:dyDescent="0.25">
      <c r="A36" s="1">
        <v>18</v>
      </c>
      <c r="B36" s="1">
        <v>1</v>
      </c>
      <c r="C36" s="1">
        <v>-16.5</v>
      </c>
      <c r="D36" s="1">
        <v>2.0699999999999998</v>
      </c>
      <c r="E36" s="1">
        <v>12</v>
      </c>
      <c r="F36" s="1">
        <f t="shared" si="0"/>
        <v>7.170690343335151</v>
      </c>
    </row>
    <row r="37" spans="1:6" x14ac:dyDescent="0.25">
      <c r="A37" s="1">
        <v>18</v>
      </c>
      <c r="B37" s="1">
        <v>9</v>
      </c>
      <c r="C37" s="1">
        <v>-12.7</v>
      </c>
      <c r="D37" s="1">
        <v>1.56</v>
      </c>
      <c r="E37" s="1">
        <v>11</v>
      </c>
      <c r="F37" s="1">
        <f t="shared" si="0"/>
        <v>5.1739346729544238</v>
      </c>
    </row>
    <row r="38" spans="1:6" x14ac:dyDescent="0.25">
      <c r="A38" s="1">
        <v>19</v>
      </c>
      <c r="B38" s="1">
        <v>1</v>
      </c>
      <c r="C38" s="1">
        <v>-20.45</v>
      </c>
      <c r="D38" s="1">
        <v>0.57999999999999996</v>
      </c>
      <c r="E38" s="1">
        <v>29</v>
      </c>
      <c r="F38" s="1">
        <f t="shared" si="0"/>
        <v>3.123395588138012</v>
      </c>
    </row>
    <row r="39" spans="1:6" x14ac:dyDescent="0.25">
      <c r="A39" s="1">
        <v>19</v>
      </c>
      <c r="B39" s="1">
        <v>10</v>
      </c>
      <c r="C39" s="1">
        <v>-20.09</v>
      </c>
      <c r="D39" s="1">
        <v>0.62</v>
      </c>
      <c r="E39" s="1">
        <v>28</v>
      </c>
      <c r="F39" s="1">
        <f t="shared" si="0"/>
        <v>3.2807316257200925</v>
      </c>
    </row>
    <row r="40" spans="1:6" x14ac:dyDescent="0.25">
      <c r="A40" s="1">
        <v>20</v>
      </c>
      <c r="B40" s="1">
        <v>1</v>
      </c>
      <c r="C40" s="1">
        <v>-17.8</v>
      </c>
      <c r="D40" s="1">
        <v>0.6</v>
      </c>
      <c r="E40" s="1">
        <v>31</v>
      </c>
      <c r="F40" s="1">
        <f t="shared" si="0"/>
        <v>3.3406586176980126</v>
      </c>
    </row>
    <row r="41" spans="1:6" x14ac:dyDescent="0.25">
      <c r="A41" s="1">
        <v>20</v>
      </c>
      <c r="B41" s="1">
        <v>6</v>
      </c>
      <c r="C41" s="1">
        <v>-24.6</v>
      </c>
      <c r="D41" s="1">
        <v>0.66</v>
      </c>
      <c r="E41" s="1">
        <v>28</v>
      </c>
      <c r="F41" s="1">
        <f t="shared" si="0"/>
        <v>3.4923917306052599</v>
      </c>
    </row>
  </sheetData>
  <mergeCells count="1">
    <mergeCell ref="H16:J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837B8920D00D4A8EFA68CF1C62BCD5" ma:contentTypeVersion="4" ma:contentTypeDescription="Create a new document." ma:contentTypeScope="" ma:versionID="329c04b9f3409c214d5ae9e85c25f760">
  <xsd:schema xmlns:xsd="http://www.w3.org/2001/XMLSchema" xmlns:xs="http://www.w3.org/2001/XMLSchema" xmlns:p="http://schemas.microsoft.com/office/2006/metadata/properties" xmlns:ns2="f19da863-d4ba-46dd-bff5-fadabd07554c" targetNamespace="http://schemas.microsoft.com/office/2006/metadata/properties" ma:root="true" ma:fieldsID="2362492a3c915fad51df93ab6a0641bc" ns2:_="">
    <xsd:import namespace="f19da863-d4ba-46dd-bff5-fadabd0755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da863-d4ba-46dd-bff5-fadabd075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F423B6-0980-4359-8E67-2AE57350BC1F}"/>
</file>

<file path=customXml/itemProps2.xml><?xml version="1.0" encoding="utf-8"?>
<ds:datastoreItem xmlns:ds="http://schemas.openxmlformats.org/officeDocument/2006/customXml" ds:itemID="{08F6733B-5547-452F-808D-A3F3F5557BE8}"/>
</file>

<file path=customXml/itemProps3.xml><?xml version="1.0" encoding="utf-8"?>
<ds:datastoreItem xmlns:ds="http://schemas.openxmlformats.org/officeDocument/2006/customXml" ds:itemID="{73D3C23C-28E6-45E6-B311-8B8DBF908D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Sheet1</vt:lpstr>
      <vt:lpstr>Sheet2</vt:lpstr>
      <vt:lpstr>Sheet3</vt:lpstr>
    </vt:vector>
  </TitlesOfParts>
  <Company>St. Michael's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Areti-Angeliki Veroniki</dc:creator>
  <cp:lastModifiedBy>stella</cp:lastModifiedBy>
  <dcterms:created xsi:type="dcterms:W3CDTF">2015-10-28T14:50:08Z</dcterms:created>
  <dcterms:modified xsi:type="dcterms:W3CDTF">2019-02-07T10:04:59Z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0x0101002D837B8920D00D4A8EFA68CF1C62BCD5</vt:lpwstr>
  </property>
</Properties>
</file>