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_FilterDatabase" vbProcedure="false">Sheet1!$A$1:$G$136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<sst xmlns="http://schemas.openxmlformats.org/spreadsheetml/2006/main" count="626" uniqueCount="219">
  <si>
    <t xml:space="preserve">Year</t>
  </si>
  <si>
    <t xml:space="preserve">Study</t>
  </si>
  <si>
    <t xml:space="preserve">id</t>
  </si>
  <si>
    <t xml:space="preserve">t1</t>
  </si>
  <si>
    <t xml:space="preserve">t2</t>
  </si>
  <si>
    <t xml:space="preserve">effect</t>
  </si>
  <si>
    <t xml:space="preserve">se</t>
  </si>
  <si>
    <t xml:space="preserve">Harmful</t>
  </si>
  <si>
    <r>
      <rPr>
        <b val="true"/>
        <sz val="11"/>
        <color rgb="FF000000"/>
        <rFont val="Calibri"/>
        <family val="2"/>
        <charset val="161"/>
      </rPr>
      <t xml:space="preserve">Outcome: </t>
    </r>
    <r>
      <rPr>
        <sz val="11"/>
        <color rgb="FF000000"/>
        <rFont val="Calibri"/>
        <family val="2"/>
        <charset val="1"/>
      </rPr>
      <t xml:space="preserve">Survival  - death</t>
    </r>
  </si>
  <si>
    <t xml:space="preserve">Lorusso V</t>
  </si>
  <si>
    <t xml:space="preserve">Treatments</t>
  </si>
  <si>
    <t xml:space="preserve">Low-dose anthracycline (combination regimen); AcLD</t>
  </si>
  <si>
    <t xml:space="preserve">Hori T</t>
  </si>
  <si>
    <t xml:space="preserve">Standard-dose anthracycline (combination regimen); AcSD</t>
  </si>
  <si>
    <t xml:space="preserve">Nemoto T</t>
  </si>
  <si>
    <t xml:space="preserve">Low-dose anthracycline (single agent); AsLD</t>
  </si>
  <si>
    <t xml:space="preserve">Dieras V</t>
  </si>
  <si>
    <t xml:space="preserve">Standard-dose anthracycline (single agent); AsSD</t>
  </si>
  <si>
    <t xml:space="preserve">Rubens RD</t>
  </si>
  <si>
    <t xml:space="preserve">Standard-dose anthracycline + trastuzumab; A+tzmb</t>
  </si>
  <si>
    <t xml:space="preserve">Nielsen D</t>
  </si>
  <si>
    <t xml:space="preserve">Standard-dose anthracycline + novel non-taxane agents; AN SD</t>
  </si>
  <si>
    <t xml:space="preserve">Cocconi G</t>
  </si>
  <si>
    <t xml:space="preserve">Std.dose anthracycl. + novel non-taxane ag. + taxanes; ANT SD</t>
  </si>
  <si>
    <t xml:space="preserve">Smalley RV</t>
  </si>
  <si>
    <t xml:space="preserve">Standard-dose anthracycline + taxanes; AT SD</t>
  </si>
  <si>
    <t xml:space="preserve">Zekan PJ</t>
  </si>
  <si>
    <t xml:space="preserve">Low-dose mitoxantrone (combination regimen); McLD</t>
  </si>
  <si>
    <t xml:space="preserve">Pavesi L</t>
  </si>
  <si>
    <t xml:space="preserve">Standard-dose mitoxantrone (combination regimen); McSD</t>
  </si>
  <si>
    <t xml:space="preserve">Harper-Wynne C</t>
  </si>
  <si>
    <t xml:space="preserve">Standard-dose mitoxantrone (single agent); MsSD</t>
  </si>
  <si>
    <t xml:space="preserve">Moiseenko VM</t>
  </si>
  <si>
    <t xml:space="preserve">Novel non-taxane agents (combination regimen); Nc</t>
  </si>
  <si>
    <t xml:space="preserve">Sjostrom J</t>
  </si>
  <si>
    <t xml:space="preserve">Novel non-taxane agents(single agent); Ns</t>
  </si>
  <si>
    <t xml:space="preserve">Bishop JF</t>
  </si>
  <si>
    <t xml:space="preserve">Novel non-taxane agents + bevacizumab (single agent); N+bmab</t>
  </si>
  <si>
    <t xml:space="preserve">Falkson G</t>
  </si>
  <si>
    <t xml:space="preserve">Novel non-taxane agents + lapatinib; N+lpnb</t>
  </si>
  <si>
    <t xml:space="preserve">Brufman G</t>
  </si>
  <si>
    <t xml:space="preserve">Novel non-taxane agents + taxanes; NT</t>
  </si>
  <si>
    <t xml:space="preserve">Athanssiou A</t>
  </si>
  <si>
    <t xml:space="preserve">Old agents (combination regimen); Oc</t>
  </si>
  <si>
    <t xml:space="preserve">Pouillart P</t>
  </si>
  <si>
    <t xml:space="preserve">Old agents (single agent); Os</t>
  </si>
  <si>
    <t xml:space="preserve">Oshaughnessy JA</t>
  </si>
  <si>
    <t xml:space="preserve">Taxanes (combination regimen); Tc</t>
  </si>
  <si>
    <t xml:space="preserve">Heidemann E</t>
  </si>
  <si>
    <t xml:space="preserve">Taxanes (single agent); Ts</t>
  </si>
  <si>
    <t xml:space="preserve">O'Shaughnessy J</t>
  </si>
  <si>
    <t xml:space="preserve">Taxanes + trastuzumab; T+tzmb</t>
  </si>
  <si>
    <t xml:space="preserve">Andersson M</t>
  </si>
  <si>
    <t xml:space="preserve">Taxanes + lapatinib; T+lpnb</t>
  </si>
  <si>
    <t xml:space="preserve">Paridaens R</t>
  </si>
  <si>
    <t xml:space="preserve">Brambilla C</t>
  </si>
  <si>
    <t xml:space="preserve">effect=log(HR)</t>
  </si>
  <si>
    <t xml:space="preserve">Cowan JD</t>
  </si>
  <si>
    <t xml:space="preserve">Henderson IC</t>
  </si>
  <si>
    <t xml:space="preserve">Habeshaw T</t>
  </si>
  <si>
    <t xml:space="preserve">Biganzoli L</t>
  </si>
  <si>
    <t xml:space="preserve">Canellos GP</t>
  </si>
  <si>
    <t xml:space="preserve">Kolaric K</t>
  </si>
  <si>
    <t xml:space="preserve">Ingle JN</t>
  </si>
  <si>
    <t xml:space="preserve">Chang YC</t>
  </si>
  <si>
    <t xml:space="preserve">Bennett JM</t>
  </si>
  <si>
    <t xml:space="preserve">Creagan ET</t>
  </si>
  <si>
    <t xml:space="preserve">Vogel CL</t>
  </si>
  <si>
    <t xml:space="preserve">Jones S</t>
  </si>
  <si>
    <t xml:space="preserve">Leonard RC</t>
  </si>
  <si>
    <t xml:space="preserve">Dogliotti L</t>
  </si>
  <si>
    <t xml:space="preserve">Hainsworth JD</t>
  </si>
  <si>
    <t xml:space="preserve">Bastholt L</t>
  </si>
  <si>
    <t xml:space="preserve">Muss HB</t>
  </si>
  <si>
    <t xml:space="preserve">Costanza ME</t>
  </si>
  <si>
    <t xml:space="preserve">Nabholtz JM</t>
  </si>
  <si>
    <t xml:space="preserve">Stewart DJ</t>
  </si>
  <si>
    <t xml:space="preserve">Chan S</t>
  </si>
  <si>
    <t xml:space="preserve">Bonneterre J</t>
  </si>
  <si>
    <t xml:space="preserve">Romero A</t>
  </si>
  <si>
    <t xml:space="preserve">Joensuu H</t>
  </si>
  <si>
    <t xml:space="preserve">Carmo-Pereira J</t>
  </si>
  <si>
    <t xml:space="preserve">Ebbs SR</t>
  </si>
  <si>
    <t xml:space="preserve">Gundersen S</t>
  </si>
  <si>
    <t xml:space="preserve">Coates A</t>
  </si>
  <si>
    <t xml:space="preserve">Focan C</t>
  </si>
  <si>
    <t xml:space="preserve">Hausmaninger H</t>
  </si>
  <si>
    <t xml:space="preserve">Jassem J</t>
  </si>
  <si>
    <t xml:space="preserve">2001a</t>
  </si>
  <si>
    <t xml:space="preserve">Slamon DJ</t>
  </si>
  <si>
    <t xml:space="preserve">Norris B</t>
  </si>
  <si>
    <t xml:space="preserve">Ackland SP</t>
  </si>
  <si>
    <t xml:space="preserve">Cook AM</t>
  </si>
  <si>
    <t xml:space="preserve">Green JA</t>
  </si>
  <si>
    <t xml:space="preserve">Steiner R</t>
  </si>
  <si>
    <t xml:space="preserve">Erkisi M</t>
  </si>
  <si>
    <t xml:space="preserve">Gasparini G</t>
  </si>
  <si>
    <t xml:space="preserve">Ahmann DL</t>
  </si>
  <si>
    <t xml:space="preserve">Spittle MF</t>
  </si>
  <si>
    <t xml:space="preserve">Blajman C</t>
  </si>
  <si>
    <t xml:space="preserve">Skeel RT</t>
  </si>
  <si>
    <t xml:space="preserve">Fraser SC</t>
  </si>
  <si>
    <t xml:space="preserve">Estaban E</t>
  </si>
  <si>
    <t xml:space="preserve">French Epirubicin SG</t>
  </si>
  <si>
    <t xml:space="preserve">Italian Multicentre Study</t>
  </si>
  <si>
    <t xml:space="preserve">Ejlertsen B</t>
  </si>
  <si>
    <t xml:space="preserve">Icli F</t>
  </si>
  <si>
    <t xml:space="preserve">Keller AM</t>
  </si>
  <si>
    <t xml:space="preserve">Zielinski C</t>
  </si>
  <si>
    <t xml:space="preserve">Miller KD</t>
  </si>
  <si>
    <t xml:space="preserve">Fountzilas G</t>
  </si>
  <si>
    <t xml:space="preserve">Lyman GH</t>
  </si>
  <si>
    <t xml:space="preserve">Buyukunal E</t>
  </si>
  <si>
    <t xml:space="preserve">Feher O</t>
  </si>
  <si>
    <t xml:space="preserve">Marty M</t>
  </si>
  <si>
    <t xml:space="preserve">Langley RE</t>
  </si>
  <si>
    <t xml:space="preserve">Bontenbal M</t>
  </si>
  <si>
    <t xml:space="preserve">Martin M</t>
  </si>
  <si>
    <t xml:space="preserve">Geyer CE</t>
  </si>
  <si>
    <t xml:space="preserve">Moen MD</t>
  </si>
  <si>
    <t xml:space="preserve">Pandya KJ</t>
  </si>
  <si>
    <t xml:space="preserve">Stockler M</t>
  </si>
  <si>
    <t xml:space="preserve">Beslija S</t>
  </si>
  <si>
    <t xml:space="preserve">Di Leo A</t>
  </si>
  <si>
    <t xml:space="preserve">Falkson G(B122)</t>
  </si>
  <si>
    <t xml:space="preserve">Chlebowski RT</t>
  </si>
  <si>
    <t xml:space="preserve">Vaughn CB</t>
  </si>
  <si>
    <t xml:space="preserve">2001b</t>
  </si>
  <si>
    <t xml:space="preserve">Thormey DC</t>
  </si>
  <si>
    <t xml:space="preserve">1987a</t>
  </si>
  <si>
    <t xml:space="preserve">Aisner J</t>
  </si>
  <si>
    <t xml:space="preserve">Cummings FJ</t>
  </si>
  <si>
    <t xml:space="preserve">1974a</t>
  </si>
  <si>
    <t xml:space="preserve">1974b</t>
  </si>
  <si>
    <t xml:space="preserve">1983a</t>
  </si>
  <si>
    <t xml:space="preserve">Cavalli F</t>
  </si>
  <si>
    <t xml:space="preserve">Venturino A</t>
  </si>
  <si>
    <t xml:space="preserve">Gottlieb JA</t>
  </si>
  <si>
    <t xml:space="preserve">Tormey DC</t>
  </si>
  <si>
    <t xml:space="preserve">Lawton PA</t>
  </si>
  <si>
    <t xml:space="preserve">1981a</t>
  </si>
  <si>
    <t xml:space="preserve">Rosner D</t>
  </si>
  <si>
    <t xml:space="preserve">Gebbia V</t>
  </si>
  <si>
    <t xml:space="preserve">Capotorto AM</t>
  </si>
  <si>
    <t xml:space="preserve">Sledge GW</t>
  </si>
  <si>
    <t xml:space="preserve">1981b</t>
  </si>
  <si>
    <t xml:space="preserve">1987b</t>
  </si>
  <si>
    <t xml:space="preserve">Berruti A</t>
  </si>
  <si>
    <t xml:space="preserve">b</t>
  </si>
  <si>
    <t xml:space="preserve">=</t>
  </si>
  <si>
    <t xml:space="preserve">10,</t>
  </si>
  <si>
    <t xml:space="preserve">1,</t>
  </si>
  <si>
    <t xml:space="preserve">4,</t>
  </si>
  <si>
    <t xml:space="preserve">18,</t>
  </si>
  <si>
    <t xml:space="preserve">17,</t>
  </si>
  <si>
    <t xml:space="preserve">2,</t>
  </si>
  <si>
    <t xml:space="preserve">9,</t>
  </si>
  <si>
    <t xml:space="preserve">13,</t>
  </si>
  <si>
    <t xml:space="preserve">16,</t>
  </si>
  <si>
    <t xml:space="preserve">3,</t>
  </si>
  <si>
    <t xml:space="preserve">12,</t>
  </si>
  <si>
    <t xml:space="preserve">8,</t>
  </si>
  <si>
    <t xml:space="preserve">20,</t>
  </si>
  <si>
    <t xml:space="preserve">1),</t>
  </si>
  <si>
    <t xml:space="preserve">t</t>
  </si>
  <si>
    <t xml:space="preserve">11,</t>
  </si>
  <si>
    <t xml:space="preserve">5,</t>
  </si>
  <si>
    <t xml:space="preserve">6,</t>
  </si>
  <si>
    <t xml:space="preserve">7,</t>
  </si>
  <si>
    <t xml:space="preserve">14,</t>
  </si>
  <si>
    <t xml:space="preserve">19,</t>
  </si>
  <si>
    <t xml:space="preserve">21,</t>
  </si>
  <si>
    <t xml:space="preserve">15,</t>
  </si>
  <si>
    <t xml:space="preserve">22,</t>
  </si>
  <si>
    <t xml:space="preserve">17)</t>
  </si>
  <si>
    <t xml:space="preserve">10, 17,</t>
  </si>
  <si>
    <t xml:space="preserve">1, 12,</t>
  </si>
  <si>
    <t xml:space="preserve">4, 17,</t>
  </si>
  <si>
    <t xml:space="preserve">18, 20,</t>
  </si>
  <si>
    <t xml:space="preserve">17, 18,</t>
  </si>
  <si>
    <t xml:space="preserve">2, 4,</t>
  </si>
  <si>
    <t xml:space="preserve">2, 17,</t>
  </si>
  <si>
    <t xml:space="preserve">2, 10,</t>
  </si>
  <si>
    <t xml:space="preserve">9, 17,</t>
  </si>
  <si>
    <t xml:space="preserve">13, 20,</t>
  </si>
  <si>
    <t xml:space="preserve">17, 20,</t>
  </si>
  <si>
    <t xml:space="preserve">1, 18,</t>
  </si>
  <si>
    <t xml:space="preserve">1, 2,</t>
  </si>
  <si>
    <t xml:space="preserve">13, 17,</t>
  </si>
  <si>
    <t xml:space="preserve">1, 11,</t>
  </si>
  <si>
    <t xml:space="preserve">16, 20,</t>
  </si>
  <si>
    <t xml:space="preserve">4, 20,</t>
  </si>
  <si>
    <t xml:space="preserve">4, 11,</t>
  </si>
  <si>
    <t xml:space="preserve">2, 8,</t>
  </si>
  <si>
    <t xml:space="preserve">1, 3,</t>
  </si>
  <si>
    <t xml:space="preserve">1, 17,</t>
  </si>
  <si>
    <t xml:space="preserve">13, 18,</t>
  </si>
  <si>
    <t xml:space="preserve">3, 4,</t>
  </si>
  <si>
    <t xml:space="preserve">12, 20,</t>
  </si>
  <si>
    <t xml:space="preserve">2, 3,</t>
  </si>
  <si>
    <t xml:space="preserve">1, 10,</t>
  </si>
  <si>
    <t xml:space="preserve">2, 5,</t>
  </si>
  <si>
    <t xml:space="preserve">4, 6,</t>
  </si>
  <si>
    <t xml:space="preserve">3, 11,</t>
  </si>
  <si>
    <t xml:space="preserve">2, 18,</t>
  </si>
  <si>
    <t xml:space="preserve">2, 6,</t>
  </si>
  <si>
    <t xml:space="preserve">3, 17,</t>
  </si>
  <si>
    <t xml:space="preserve">4, 13,</t>
  </si>
  <si>
    <t xml:space="preserve">2, 7,</t>
  </si>
  <si>
    <t xml:space="preserve">13, 14,</t>
  </si>
  <si>
    <t xml:space="preserve">8, 19,</t>
  </si>
  <si>
    <t xml:space="preserve">20, 21,</t>
  </si>
  <si>
    <t xml:space="preserve">12, 13,</t>
  </si>
  <si>
    <t xml:space="preserve">13, 15,</t>
  </si>
  <si>
    <t xml:space="preserve">20, 22,</t>
  </si>
  <si>
    <t xml:space="preserve">1, 4,</t>
  </si>
  <si>
    <t xml:space="preserve">4, 18,</t>
  </si>
  <si>
    <t xml:space="preserve">8, 20,</t>
  </si>
  <si>
    <t xml:space="preserve">1), 17)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</si>
</sst>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61"/>
    </font>
    <font>
      <sz val="11"/>
      <color rgb="FF000000"/>
      <name val="ArialMT"/>
      <family val="0"/>
      <charset val="1"/>
    </font>
    <font>
      <sz val="11"/>
      <color rgb="FF000000"/>
      <name val="ArialUnicodeMS"/>
      <family val="0"/>
      <charset val="1"/>
    </font>
    <font>
      <sz val="11"/>
      <color rgb="FF000000"/>
      <name val="Calibri"/>
      <family val="2"/>
      <charset val="161"/>
    </font>
    <font>
      <sz val="10"/>
      <color rgb="FF000000"/>
      <name val="Lucida Console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0" sqref="F2"/>
    </sheetView>
  </sheetViews>
  <sheetFormatPr defaultRowHeight="15" zeroHeight="false" outlineLevelRow="0" outlineLevelCol="0"/>
  <cols>
    <col collapsed="false" customWidth="true" hidden="false" outlineLevel="0" max="1" min="1" style="1" width="6.15"/>
    <col collapsed="false" customWidth="true" hidden="false" outlineLevel="0" max="2" min="2" style="1" width="23.28"/>
    <col collapsed="false" customWidth="true" hidden="false" outlineLevel="0" max="3" min="3" style="1" width="8.14"/>
    <col collapsed="false" customWidth="true" hidden="false" outlineLevel="0" max="4" min="4" style="1" width="12.14"/>
    <col collapsed="false" customWidth="true" hidden="false" outlineLevel="0" max="5" min="5" style="2" width="11.71"/>
    <col collapsed="false" customWidth="true" hidden="false" outlineLevel="0" max="6" min="6" style="3" width="12.14"/>
    <col collapsed="false" customWidth="true" hidden="false" outlineLevel="0" max="7" min="7" style="3" width="9.85"/>
    <col collapsed="false" customWidth="true" hidden="false" outlineLevel="0" max="9" min="8" style="2" width="8.86"/>
    <col collapsed="false" customWidth="true" hidden="false" outlineLevel="0" max="10" min="10" style="2" width="12.29"/>
    <col collapsed="false" customWidth="true" hidden="false" outlineLevel="0" max="11" min="11" style="2" width="4.86"/>
    <col collapsed="false" customWidth="true" hidden="false" outlineLevel="0" max="12" min="12" style="2" width="59.29"/>
    <col collapsed="false" customWidth="true" hidden="false" outlineLevel="0" max="1025" min="13" style="2" width="8.86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6"/>
      <c r="I1" s="7" t="s">
        <v>7</v>
      </c>
      <c r="J1" s="7" t="s">
        <v>8</v>
      </c>
    </row>
    <row r="2" customFormat="false" ht="15" hidden="false" customHeight="false" outlineLevel="0" collapsed="false">
      <c r="A2" s="1" t="n">
        <v>1993</v>
      </c>
      <c r="B2" s="1" t="s">
        <v>9</v>
      </c>
      <c r="C2" s="1" t="n">
        <v>1</v>
      </c>
      <c r="D2" s="1" t="n">
        <v>10</v>
      </c>
      <c r="E2" s="1" t="n">
        <v>17</v>
      </c>
      <c r="F2" s="8" t="n">
        <v>-0.198172849</v>
      </c>
      <c r="G2" s="8" t="n">
        <v>0.221058268097776</v>
      </c>
      <c r="H2" s="8"/>
      <c r="J2" s="9" t="s">
        <v>10</v>
      </c>
      <c r="K2" s="10" t="n">
        <v>1</v>
      </c>
      <c r="L2" s="10" t="s">
        <v>11</v>
      </c>
    </row>
    <row r="3" customFormat="false" ht="15" hidden="false" customHeight="false" outlineLevel="0" collapsed="false">
      <c r="A3" s="1" t="n">
        <v>1993</v>
      </c>
      <c r="B3" s="1" t="s">
        <v>12</v>
      </c>
      <c r="C3" s="1" t="n">
        <v>2</v>
      </c>
      <c r="D3" s="1" t="n">
        <v>1</v>
      </c>
      <c r="E3" s="1" t="n">
        <v>12</v>
      </c>
      <c r="F3" s="8" t="n">
        <v>0.079115516</v>
      </c>
      <c r="G3" s="8" t="n">
        <v>0.246252793327843</v>
      </c>
      <c r="H3" s="8"/>
      <c r="J3" s="11"/>
      <c r="K3" s="2" t="n">
        <v>2</v>
      </c>
      <c r="L3" s="2" t="s">
        <v>13</v>
      </c>
    </row>
    <row r="4" customFormat="false" ht="15" hidden="false" customHeight="false" outlineLevel="0" collapsed="false">
      <c r="A4" s="1" t="n">
        <v>1978</v>
      </c>
      <c r="B4" s="1" t="s">
        <v>14</v>
      </c>
      <c r="C4" s="1" t="n">
        <v>3</v>
      </c>
      <c r="D4" s="1" t="n">
        <v>4</v>
      </c>
      <c r="E4" s="1" t="n">
        <v>17</v>
      </c>
      <c r="F4" s="8" t="n">
        <v>0.234839591</v>
      </c>
      <c r="G4" s="8" t="n">
        <v>0.295027998121026</v>
      </c>
      <c r="H4" s="8"/>
      <c r="J4" s="11"/>
      <c r="K4" s="2" t="n">
        <v>3</v>
      </c>
      <c r="L4" s="2" t="s">
        <v>15</v>
      </c>
    </row>
    <row r="5" customFormat="false" ht="15" hidden="false" customHeight="false" outlineLevel="0" collapsed="false">
      <c r="A5" s="1" t="n">
        <v>1995</v>
      </c>
      <c r="B5" s="1" t="s">
        <v>16</v>
      </c>
      <c r="C5" s="1" t="n">
        <v>4</v>
      </c>
      <c r="D5" s="1" t="n">
        <v>18</v>
      </c>
      <c r="E5" s="1" t="n">
        <v>20</v>
      </c>
      <c r="F5" s="8" t="n">
        <v>0.544133223</v>
      </c>
      <c r="G5" s="8" t="n">
        <v>0.377993282595158</v>
      </c>
      <c r="H5" s="8"/>
      <c r="J5" s="11"/>
      <c r="K5" s="2" t="n">
        <v>4</v>
      </c>
      <c r="L5" s="2" t="s">
        <v>17</v>
      </c>
    </row>
    <row r="6" customFormat="false" ht="15" hidden="false" customHeight="false" outlineLevel="0" collapsed="false">
      <c r="A6" s="1" t="n">
        <v>1975</v>
      </c>
      <c r="B6" s="1" t="s">
        <v>18</v>
      </c>
      <c r="C6" s="1" t="n">
        <v>5</v>
      </c>
      <c r="D6" s="1" t="n">
        <v>17</v>
      </c>
      <c r="E6" s="1" t="n">
        <v>18</v>
      </c>
      <c r="F6" s="8" t="n">
        <v>-0.139761942</v>
      </c>
      <c r="G6" s="8" t="n">
        <v>0.233047764289909</v>
      </c>
      <c r="H6" s="8"/>
      <c r="J6" s="11"/>
      <c r="K6" s="2" t="n">
        <v>5</v>
      </c>
      <c r="L6" s="2" t="s">
        <v>19</v>
      </c>
    </row>
    <row r="7" customFormat="false" ht="15" hidden="false" customHeight="false" outlineLevel="0" collapsed="false">
      <c r="A7" s="1" t="n">
        <v>1990</v>
      </c>
      <c r="B7" s="1" t="s">
        <v>20</v>
      </c>
      <c r="C7" s="1" t="n">
        <v>6</v>
      </c>
      <c r="D7" s="1" t="n">
        <v>2</v>
      </c>
      <c r="E7" s="1" t="n">
        <v>4</v>
      </c>
      <c r="F7" s="8" t="n">
        <v>0</v>
      </c>
      <c r="G7" s="8" t="n">
        <v>0.176695552690986</v>
      </c>
      <c r="H7" s="8"/>
      <c r="J7" s="11"/>
      <c r="K7" s="2" t="n">
        <v>6</v>
      </c>
      <c r="L7" s="2" t="s">
        <v>21</v>
      </c>
    </row>
    <row r="8" customFormat="false" ht="15" hidden="false" customHeight="false" outlineLevel="0" collapsed="false">
      <c r="A8" s="1" t="n">
        <v>1990</v>
      </c>
      <c r="B8" s="1" t="s">
        <v>22</v>
      </c>
      <c r="C8" s="1" t="n">
        <v>7</v>
      </c>
      <c r="D8" s="1" t="n">
        <v>2</v>
      </c>
      <c r="E8" s="1" t="n">
        <v>17</v>
      </c>
      <c r="F8" s="8" t="n">
        <v>-0.139045754</v>
      </c>
      <c r="G8" s="8" t="n">
        <v>0.232611291437729</v>
      </c>
      <c r="H8" s="8"/>
      <c r="J8" s="11"/>
      <c r="K8" s="2" t="n">
        <v>7</v>
      </c>
      <c r="L8" s="2" t="s">
        <v>23</v>
      </c>
    </row>
    <row r="9" customFormat="false" ht="15" hidden="false" customHeight="false" outlineLevel="0" collapsed="false">
      <c r="A9" s="1" t="n">
        <v>1983</v>
      </c>
      <c r="B9" s="1" t="s">
        <v>24</v>
      </c>
      <c r="C9" s="1" t="n">
        <v>8</v>
      </c>
      <c r="D9" s="1" t="n">
        <v>2</v>
      </c>
      <c r="E9" s="1" t="n">
        <v>17</v>
      </c>
      <c r="F9" s="8" t="n">
        <v>-0.242563616</v>
      </c>
      <c r="G9" s="8" t="n">
        <v>0.147468207832499</v>
      </c>
      <c r="H9" s="8"/>
      <c r="J9" s="11"/>
      <c r="K9" s="2" t="n">
        <v>8</v>
      </c>
      <c r="L9" s="2" t="s">
        <v>25</v>
      </c>
    </row>
    <row r="10" customFormat="false" ht="15" hidden="false" customHeight="false" outlineLevel="0" collapsed="false">
      <c r="A10" s="1" t="n">
        <v>1984</v>
      </c>
      <c r="B10" s="1" t="s">
        <v>26</v>
      </c>
      <c r="C10" s="1" t="n">
        <v>9</v>
      </c>
      <c r="D10" s="1" t="n">
        <v>2</v>
      </c>
      <c r="E10" s="1" t="n">
        <v>17</v>
      </c>
      <c r="F10" s="8" t="n">
        <v>0.28538586</v>
      </c>
      <c r="G10" s="8" t="n">
        <v>0.3856236023488</v>
      </c>
      <c r="H10" s="8"/>
      <c r="J10" s="11"/>
      <c r="K10" s="2" t="n">
        <v>9</v>
      </c>
      <c r="L10" s="2" t="s">
        <v>27</v>
      </c>
    </row>
    <row r="11" customFormat="false" ht="15" hidden="false" customHeight="false" outlineLevel="0" collapsed="false">
      <c r="A11" s="1" t="n">
        <v>1995</v>
      </c>
      <c r="B11" s="1" t="s">
        <v>28</v>
      </c>
      <c r="C11" s="1" t="n">
        <v>10</v>
      </c>
      <c r="D11" s="1" t="n">
        <v>2</v>
      </c>
      <c r="E11" s="1" t="n">
        <v>10</v>
      </c>
      <c r="F11" s="8" t="n">
        <v>-0.180829552</v>
      </c>
      <c r="G11" s="8" t="n">
        <v>0.190697313080026</v>
      </c>
      <c r="H11" s="8"/>
      <c r="J11" s="11"/>
      <c r="K11" s="2" t="n">
        <v>10</v>
      </c>
      <c r="L11" s="2" t="s">
        <v>29</v>
      </c>
    </row>
    <row r="12" customFormat="false" ht="15" hidden="false" customHeight="false" outlineLevel="0" collapsed="false">
      <c r="A12" s="1" t="n">
        <v>1999</v>
      </c>
      <c r="B12" s="1" t="s">
        <v>30</v>
      </c>
      <c r="C12" s="1" t="n">
        <v>11</v>
      </c>
      <c r="D12" s="1" t="n">
        <v>9</v>
      </c>
      <c r="E12" s="1" t="n">
        <v>17</v>
      </c>
      <c r="F12" s="8" t="n">
        <v>-0.078068373</v>
      </c>
      <c r="G12" s="8" t="n">
        <v>0.215665546406877</v>
      </c>
      <c r="H12" s="8"/>
      <c r="J12" s="11"/>
      <c r="K12" s="2" t="n">
        <v>11</v>
      </c>
      <c r="L12" s="2" t="s">
        <v>31</v>
      </c>
    </row>
    <row r="13" customFormat="false" ht="15" hidden="false" customHeight="false" outlineLevel="0" collapsed="false">
      <c r="A13" s="1" t="n">
        <v>2000</v>
      </c>
      <c r="B13" s="1" t="s">
        <v>32</v>
      </c>
      <c r="C13" s="1" t="n">
        <v>12</v>
      </c>
      <c r="D13" s="1" t="n">
        <v>13</v>
      </c>
      <c r="E13" s="1" t="n">
        <v>20</v>
      </c>
      <c r="F13" s="8" t="n">
        <v>0.442453245</v>
      </c>
      <c r="G13" s="8" t="n">
        <v>0.418149698952535</v>
      </c>
      <c r="H13" s="8"/>
      <c r="J13" s="11"/>
      <c r="K13" s="2" t="n">
        <v>12</v>
      </c>
      <c r="L13" s="2" t="s">
        <v>33</v>
      </c>
    </row>
    <row r="14" customFormat="false" ht="15" hidden="false" customHeight="false" outlineLevel="0" collapsed="false">
      <c r="A14" s="1" t="n">
        <v>1999</v>
      </c>
      <c r="B14" s="1" t="s">
        <v>34</v>
      </c>
      <c r="C14" s="1" t="n">
        <v>13</v>
      </c>
      <c r="D14" s="1" t="n">
        <v>17</v>
      </c>
      <c r="E14" s="1" t="n">
        <v>20</v>
      </c>
      <c r="F14" s="8" t="n">
        <v>0.039376455</v>
      </c>
      <c r="G14" s="8" t="n">
        <v>0.147859129729245</v>
      </c>
      <c r="H14" s="8"/>
      <c r="J14" s="11"/>
      <c r="K14" s="2" t="n">
        <v>13</v>
      </c>
      <c r="L14" s="2" t="s">
        <v>35</v>
      </c>
    </row>
    <row r="15" customFormat="false" ht="15" hidden="false" customHeight="false" outlineLevel="0" collapsed="false">
      <c r="A15" s="1" t="n">
        <v>1999</v>
      </c>
      <c r="B15" s="1" t="s">
        <v>36</v>
      </c>
      <c r="C15" s="1" t="n">
        <v>14</v>
      </c>
      <c r="D15" s="1" t="n">
        <v>17</v>
      </c>
      <c r="E15" s="1" t="n">
        <v>20</v>
      </c>
      <c r="F15" s="8" t="n">
        <v>0.292318636</v>
      </c>
      <c r="G15" s="8" t="n">
        <v>0.160173996824156</v>
      </c>
      <c r="H15" s="8"/>
      <c r="J15" s="11"/>
      <c r="K15" s="2" t="n">
        <v>14</v>
      </c>
      <c r="L15" s="2" t="s">
        <v>37</v>
      </c>
    </row>
    <row r="16" customFormat="false" ht="15" hidden="false" customHeight="false" outlineLevel="0" collapsed="false">
      <c r="A16" s="1" t="n">
        <v>1985</v>
      </c>
      <c r="B16" s="1" t="s">
        <v>38</v>
      </c>
      <c r="C16" s="1" t="n">
        <v>15</v>
      </c>
      <c r="D16" s="1" t="n">
        <v>1</v>
      </c>
      <c r="E16" s="1" t="n">
        <v>18</v>
      </c>
      <c r="F16" s="8" t="n">
        <v>-0.234050072</v>
      </c>
      <c r="G16" s="8" t="n">
        <v>0.203459987144298</v>
      </c>
      <c r="H16" s="8"/>
      <c r="J16" s="11"/>
      <c r="K16" s="2" t="n">
        <v>15</v>
      </c>
      <c r="L16" s="2" t="s">
        <v>39</v>
      </c>
    </row>
    <row r="17" customFormat="false" ht="15" hidden="false" customHeight="false" outlineLevel="0" collapsed="false">
      <c r="A17" s="1" t="n">
        <v>1997</v>
      </c>
      <c r="B17" s="1" t="s">
        <v>40</v>
      </c>
      <c r="C17" s="1" t="n">
        <v>16</v>
      </c>
      <c r="D17" s="1" t="n">
        <v>1</v>
      </c>
      <c r="E17" s="1" t="n">
        <v>2</v>
      </c>
      <c r="F17" s="8" t="n">
        <v>0.057158414</v>
      </c>
      <c r="G17" s="8" t="n">
        <v>0.110640301608886</v>
      </c>
      <c r="H17" s="8"/>
      <c r="J17" s="11"/>
      <c r="K17" s="2" t="n">
        <v>16</v>
      </c>
      <c r="L17" s="2" t="s">
        <v>41</v>
      </c>
    </row>
    <row r="18" customFormat="false" ht="15" hidden="false" customHeight="false" outlineLevel="0" collapsed="false">
      <c r="A18" s="1" t="n">
        <v>1996</v>
      </c>
      <c r="B18" s="1" t="s">
        <v>42</v>
      </c>
      <c r="C18" s="1" t="n">
        <v>17</v>
      </c>
      <c r="D18" s="1" t="n">
        <v>1</v>
      </c>
      <c r="E18" s="1" t="n">
        <v>2</v>
      </c>
      <c r="F18" s="8" t="n">
        <v>0.092551557</v>
      </c>
      <c r="G18" s="8" t="n">
        <v>0.387298324938284</v>
      </c>
      <c r="H18" s="8"/>
      <c r="J18" s="11"/>
      <c r="K18" s="2" t="n">
        <v>17</v>
      </c>
      <c r="L18" s="2" t="s">
        <v>43</v>
      </c>
    </row>
    <row r="19" customFormat="false" ht="15" hidden="false" customHeight="false" outlineLevel="0" collapsed="false">
      <c r="A19" s="1" t="n">
        <v>1994</v>
      </c>
      <c r="B19" s="1" t="s">
        <v>44</v>
      </c>
      <c r="C19" s="1" t="n">
        <v>18</v>
      </c>
      <c r="D19" s="1" t="n">
        <v>2</v>
      </c>
      <c r="E19" s="1" t="n">
        <v>10</v>
      </c>
      <c r="F19" s="8" t="n">
        <v>0.019802627</v>
      </c>
      <c r="G19" s="8" t="n">
        <v>0.196387704274503</v>
      </c>
      <c r="H19" s="8"/>
      <c r="J19" s="11"/>
      <c r="K19" s="2" t="n">
        <v>18</v>
      </c>
      <c r="L19" s="2" t="s">
        <v>45</v>
      </c>
    </row>
    <row r="20" customFormat="false" ht="15" hidden="false" customHeight="false" outlineLevel="0" collapsed="false">
      <c r="A20" s="1" t="n">
        <v>2001</v>
      </c>
      <c r="B20" s="1" t="s">
        <v>46</v>
      </c>
      <c r="C20" s="1" t="n">
        <v>19</v>
      </c>
      <c r="D20" s="1" t="n">
        <v>13</v>
      </c>
      <c r="E20" s="1" t="n">
        <v>17</v>
      </c>
      <c r="F20" s="8" t="n">
        <v>-0.157003749</v>
      </c>
      <c r="G20" s="8" t="n">
        <v>0.355802522182443</v>
      </c>
      <c r="H20" s="8"/>
      <c r="J20" s="11"/>
      <c r="K20" s="2" t="n">
        <v>19</v>
      </c>
      <c r="L20" s="2" t="s">
        <v>47</v>
      </c>
    </row>
    <row r="21" customFormat="false" ht="15" hidden="false" customHeight="false" outlineLevel="0" collapsed="false">
      <c r="A21" s="1" t="n">
        <v>2002</v>
      </c>
      <c r="B21" s="1" t="s">
        <v>48</v>
      </c>
      <c r="C21" s="1" t="n">
        <v>20</v>
      </c>
      <c r="D21" s="1" t="n">
        <v>1</v>
      </c>
      <c r="E21" s="1" t="n">
        <v>11</v>
      </c>
      <c r="F21" s="8" t="n">
        <v>-0.113835143</v>
      </c>
      <c r="G21" s="8" t="n">
        <v>0.142895197415914</v>
      </c>
      <c r="H21" s="8"/>
      <c r="J21" s="11"/>
      <c r="K21" s="2" t="n">
        <v>20</v>
      </c>
      <c r="L21" s="2" t="s">
        <v>49</v>
      </c>
    </row>
    <row r="22" customFormat="false" ht="15" hidden="false" customHeight="false" outlineLevel="0" collapsed="false">
      <c r="A22" s="1" t="n">
        <v>2002</v>
      </c>
      <c r="B22" s="1" t="s">
        <v>50</v>
      </c>
      <c r="C22" s="1" t="n">
        <v>21</v>
      </c>
      <c r="D22" s="1" t="n">
        <v>16</v>
      </c>
      <c r="E22" s="1" t="n">
        <v>20</v>
      </c>
      <c r="F22" s="8" t="n">
        <v>-0.25489225</v>
      </c>
      <c r="G22" s="8" t="n">
        <v>0.102359729265936</v>
      </c>
      <c r="H22" s="8"/>
      <c r="J22" s="11"/>
      <c r="K22" s="2" t="n">
        <v>21</v>
      </c>
      <c r="L22" s="2" t="s">
        <v>51</v>
      </c>
    </row>
    <row r="23" customFormat="false" ht="15" hidden="false" customHeight="false" outlineLevel="0" collapsed="false">
      <c r="A23" s="1" t="n">
        <v>1986</v>
      </c>
      <c r="B23" s="1" t="s">
        <v>52</v>
      </c>
      <c r="C23" s="1" t="n">
        <v>22</v>
      </c>
      <c r="D23" s="1" t="n">
        <v>2</v>
      </c>
      <c r="E23" s="1" t="n">
        <v>4</v>
      </c>
      <c r="F23" s="8" t="n">
        <v>-0.199888666</v>
      </c>
      <c r="G23" s="8" t="n">
        <v>0.237504306121992</v>
      </c>
      <c r="H23" s="8"/>
      <c r="J23" s="12"/>
      <c r="K23" s="13" t="n">
        <v>22</v>
      </c>
      <c r="L23" s="13" t="s">
        <v>53</v>
      </c>
    </row>
    <row r="24" customFormat="false" ht="15" hidden="false" customHeight="false" outlineLevel="0" collapsed="false">
      <c r="A24" s="1" t="n">
        <v>2000</v>
      </c>
      <c r="B24" s="1" t="s">
        <v>54</v>
      </c>
      <c r="C24" s="1" t="n">
        <v>23</v>
      </c>
      <c r="D24" s="1" t="n">
        <v>4</v>
      </c>
      <c r="E24" s="1" t="n">
        <v>20</v>
      </c>
      <c r="F24" s="8" t="n">
        <v>-0.109868454</v>
      </c>
      <c r="G24" s="8" t="n">
        <v>0.125491734140797</v>
      </c>
      <c r="H24" s="8"/>
    </row>
    <row r="25" customFormat="false" ht="15" hidden="false" customHeight="false" outlineLevel="0" collapsed="false">
      <c r="A25" s="1" t="n">
        <v>1976</v>
      </c>
      <c r="B25" s="1" t="s">
        <v>55</v>
      </c>
      <c r="C25" s="1" t="n">
        <v>24</v>
      </c>
      <c r="D25" s="1" t="n">
        <v>2</v>
      </c>
      <c r="E25" s="1" t="n">
        <v>17</v>
      </c>
      <c r="F25" s="8" t="n">
        <v>-0.248454738</v>
      </c>
      <c r="G25" s="8" t="n">
        <v>0.260389632444007</v>
      </c>
      <c r="H25" s="8"/>
      <c r="L25" s="5" t="s">
        <v>56</v>
      </c>
    </row>
    <row r="26" customFormat="false" ht="15" hidden="false" customHeight="false" outlineLevel="0" collapsed="false">
      <c r="A26" s="1" t="n">
        <v>1991</v>
      </c>
      <c r="B26" s="1" t="s">
        <v>57</v>
      </c>
      <c r="C26" s="1" t="n">
        <v>25</v>
      </c>
      <c r="D26" s="1" t="n">
        <v>4</v>
      </c>
      <c r="E26" s="1" t="n">
        <v>11</v>
      </c>
      <c r="F26" s="8" t="n">
        <v>-0.392042088</v>
      </c>
      <c r="G26" s="8" t="n">
        <v>0.141454256665346</v>
      </c>
      <c r="H26" s="8"/>
      <c r="J26" s="14"/>
    </row>
    <row r="27" customFormat="false" ht="15" hidden="false" customHeight="false" outlineLevel="0" collapsed="false">
      <c r="A27" s="1" t="n">
        <v>1989</v>
      </c>
      <c r="B27" s="1" t="s">
        <v>58</v>
      </c>
      <c r="C27" s="1" t="n">
        <v>26</v>
      </c>
      <c r="D27" s="1" t="n">
        <v>4</v>
      </c>
      <c r="E27" s="1" t="n">
        <v>11</v>
      </c>
      <c r="F27" s="8" t="n">
        <v>0.019112442</v>
      </c>
      <c r="G27" s="8" t="n">
        <v>0.128846573918119</v>
      </c>
      <c r="H27" s="8"/>
    </row>
    <row r="28" customFormat="false" ht="15" hidden="false" customHeight="false" outlineLevel="0" collapsed="false">
      <c r="A28" s="1" t="n">
        <v>1991</v>
      </c>
      <c r="B28" s="1" t="s">
        <v>59</v>
      </c>
      <c r="C28" s="1" t="n">
        <v>27</v>
      </c>
      <c r="D28" s="1" t="n">
        <v>1</v>
      </c>
      <c r="E28" s="1" t="n">
        <v>2</v>
      </c>
      <c r="F28" s="8" t="n">
        <v>-0.019048195</v>
      </c>
      <c r="G28" s="8" t="n">
        <v>0.151187520526696</v>
      </c>
      <c r="H28" s="8"/>
      <c r="J28" s="14"/>
    </row>
    <row r="29" customFormat="false" ht="15" hidden="false" customHeight="false" outlineLevel="0" collapsed="false">
      <c r="A29" s="1" t="n">
        <v>2002</v>
      </c>
      <c r="B29" s="1" t="s">
        <v>60</v>
      </c>
      <c r="C29" s="1" t="n">
        <v>28</v>
      </c>
      <c r="D29" s="1" t="n">
        <v>2</v>
      </c>
      <c r="E29" s="1" t="n">
        <v>8</v>
      </c>
      <c r="F29" s="8" t="n">
        <v>-0.105360516</v>
      </c>
      <c r="G29" s="8" t="n">
        <v>0.150790287773677</v>
      </c>
      <c r="H29" s="8"/>
      <c r="J29" s="14"/>
    </row>
    <row r="30" customFormat="false" ht="15" hidden="false" customHeight="false" outlineLevel="0" collapsed="false">
      <c r="A30" s="1" t="n">
        <v>1976</v>
      </c>
      <c r="B30" s="1" t="s">
        <v>61</v>
      </c>
      <c r="C30" s="1" t="n">
        <v>29</v>
      </c>
      <c r="D30" s="1" t="n">
        <v>17</v>
      </c>
      <c r="E30" s="1" t="n">
        <v>18</v>
      </c>
      <c r="F30" s="8" t="n">
        <v>-0.287682072</v>
      </c>
      <c r="G30" s="8" t="n">
        <v>0.187328228154481</v>
      </c>
      <c r="H30" s="8"/>
      <c r="J30" s="14"/>
    </row>
    <row r="31" customFormat="false" ht="15" hidden="false" customHeight="false" outlineLevel="0" collapsed="false">
      <c r="A31" s="1" t="n">
        <v>1989</v>
      </c>
      <c r="B31" s="1" t="s">
        <v>62</v>
      </c>
      <c r="C31" s="1" t="n">
        <v>30</v>
      </c>
      <c r="D31" s="1" t="n">
        <v>1</v>
      </c>
      <c r="E31" s="1" t="n">
        <v>2</v>
      </c>
      <c r="F31" s="8" t="n">
        <v>-0.293997797</v>
      </c>
      <c r="G31" s="8" t="n">
        <v>0.178737970143712</v>
      </c>
      <c r="H31" s="8"/>
      <c r="J31" s="14"/>
    </row>
    <row r="32" customFormat="false" ht="15" hidden="false" customHeight="false" outlineLevel="0" collapsed="false">
      <c r="A32" s="1" t="n">
        <v>1985</v>
      </c>
      <c r="B32" s="1" t="s">
        <v>63</v>
      </c>
      <c r="C32" s="1" t="n">
        <v>31</v>
      </c>
      <c r="D32" s="1" t="n">
        <v>1</v>
      </c>
      <c r="E32" s="1" t="n">
        <v>3</v>
      </c>
      <c r="F32" s="8" t="n">
        <v>0.026668247</v>
      </c>
      <c r="G32" s="8" t="n">
        <v>0.164989785456221</v>
      </c>
      <c r="H32" s="8"/>
      <c r="J32" s="14"/>
    </row>
    <row r="33" customFormat="false" ht="15" hidden="false" customHeight="false" outlineLevel="0" collapsed="false">
      <c r="A33" s="1" t="n">
        <v>1982</v>
      </c>
      <c r="B33" s="1" t="s">
        <v>64</v>
      </c>
      <c r="C33" s="1" t="n">
        <v>32</v>
      </c>
      <c r="D33" s="1" t="n">
        <v>1</v>
      </c>
      <c r="E33" s="1" t="n">
        <v>18</v>
      </c>
      <c r="F33" s="8" t="n">
        <v>0.389270422</v>
      </c>
      <c r="G33" s="8" t="n">
        <v>0.555225260496149</v>
      </c>
      <c r="H33" s="8"/>
    </row>
    <row r="34" customFormat="false" ht="15" hidden="false" customHeight="false" outlineLevel="0" collapsed="false">
      <c r="A34" s="1" t="n">
        <v>1988</v>
      </c>
      <c r="B34" s="1" t="s">
        <v>65</v>
      </c>
      <c r="C34" s="1" t="n">
        <v>33</v>
      </c>
      <c r="D34" s="1" t="n">
        <v>2</v>
      </c>
      <c r="E34" s="1" t="n">
        <v>10</v>
      </c>
      <c r="F34" s="8" t="n">
        <v>-0.03320895</v>
      </c>
      <c r="G34" s="8" t="n">
        <v>0.118892543172533</v>
      </c>
      <c r="H34" s="8"/>
      <c r="J34" s="14"/>
    </row>
    <row r="35" customFormat="false" ht="15" hidden="false" customHeight="false" outlineLevel="0" collapsed="false">
      <c r="A35" s="1" t="n">
        <v>1984</v>
      </c>
      <c r="B35" s="1" t="s">
        <v>66</v>
      </c>
      <c r="C35" s="1" t="n">
        <v>34</v>
      </c>
      <c r="D35" s="1" t="n">
        <v>1</v>
      </c>
      <c r="E35" s="1" t="n">
        <v>17</v>
      </c>
      <c r="F35" s="8" t="n">
        <v>0.343589704</v>
      </c>
      <c r="G35" s="8" t="n">
        <v>0.250359469137133</v>
      </c>
      <c r="H35" s="8"/>
      <c r="J35" s="14"/>
    </row>
    <row r="36" customFormat="false" ht="15" hidden="false" customHeight="false" outlineLevel="0" collapsed="false">
      <c r="A36" s="1" t="n">
        <v>1984</v>
      </c>
      <c r="B36" s="1" t="s">
        <v>67</v>
      </c>
      <c r="C36" s="1" t="n">
        <v>35</v>
      </c>
      <c r="D36" s="1" t="n">
        <v>1</v>
      </c>
      <c r="E36" s="1" t="n">
        <v>2</v>
      </c>
      <c r="F36" s="8" t="n">
        <v>-0.046212843</v>
      </c>
      <c r="G36" s="8" t="n">
        <v>0.186494481482838</v>
      </c>
      <c r="H36" s="8"/>
      <c r="J36" s="14"/>
    </row>
    <row r="37" customFormat="false" ht="15" hidden="false" customHeight="false" outlineLevel="0" collapsed="false">
      <c r="A37" s="1" t="n">
        <v>1995</v>
      </c>
      <c r="B37" s="1" t="s">
        <v>68</v>
      </c>
      <c r="C37" s="1" t="n">
        <v>36</v>
      </c>
      <c r="D37" s="1" t="n">
        <v>13</v>
      </c>
      <c r="E37" s="1" t="n">
        <v>18</v>
      </c>
      <c r="F37" s="8" t="n">
        <v>-0.397240782</v>
      </c>
      <c r="G37" s="8" t="n">
        <v>0.187371389526433</v>
      </c>
      <c r="H37" s="8"/>
      <c r="J37" s="14"/>
    </row>
    <row r="38" customFormat="false" ht="15" hidden="false" customHeight="false" outlineLevel="0" collapsed="false">
      <c r="A38" s="1" t="n">
        <v>1987</v>
      </c>
      <c r="B38" s="1" t="s">
        <v>69</v>
      </c>
      <c r="C38" s="1" t="n">
        <v>37</v>
      </c>
      <c r="D38" s="1" t="n">
        <v>2</v>
      </c>
      <c r="E38" s="1" t="n">
        <v>10</v>
      </c>
      <c r="F38" s="8" t="n">
        <v>0</v>
      </c>
      <c r="G38" s="8" t="n">
        <v>0.223682924411287</v>
      </c>
      <c r="H38" s="8"/>
    </row>
    <row r="39" customFormat="false" ht="15" hidden="false" customHeight="false" outlineLevel="0" collapsed="false">
      <c r="A39" s="1" t="n">
        <v>1996</v>
      </c>
      <c r="B39" s="1" t="s">
        <v>70</v>
      </c>
      <c r="C39" s="1" t="n">
        <v>38</v>
      </c>
      <c r="D39" s="1" t="n">
        <v>2</v>
      </c>
      <c r="E39" s="1" t="n">
        <v>4</v>
      </c>
      <c r="F39" s="8" t="n">
        <v>0.011928571</v>
      </c>
      <c r="G39" s="8" t="n">
        <v>0.184922406016762</v>
      </c>
      <c r="H39" s="8"/>
      <c r="J39" s="14"/>
    </row>
    <row r="40" customFormat="false" ht="15" hidden="false" customHeight="false" outlineLevel="0" collapsed="false">
      <c r="A40" s="1" t="n">
        <v>1985</v>
      </c>
      <c r="B40" s="1" t="s">
        <v>62</v>
      </c>
      <c r="C40" s="1" t="n">
        <v>39</v>
      </c>
      <c r="D40" s="1" t="n">
        <v>1</v>
      </c>
      <c r="E40" s="1" t="n">
        <v>17</v>
      </c>
      <c r="F40" s="8" t="n">
        <v>-0.533452261</v>
      </c>
      <c r="G40" s="8" t="n">
        <v>0.272174518964109</v>
      </c>
      <c r="H40" s="8"/>
      <c r="J40" s="14"/>
    </row>
    <row r="41" customFormat="false" ht="15" hidden="false" customHeight="false" outlineLevel="0" collapsed="false">
      <c r="A41" s="1" t="n">
        <v>1997</v>
      </c>
      <c r="B41" s="1" t="s">
        <v>71</v>
      </c>
      <c r="C41" s="1" t="n">
        <v>40</v>
      </c>
      <c r="D41" s="1" t="n">
        <v>10</v>
      </c>
      <c r="E41" s="1" t="n">
        <v>17</v>
      </c>
      <c r="F41" s="8" t="n">
        <v>-0.155053556</v>
      </c>
      <c r="G41" s="8" t="n">
        <v>0.219528519979381</v>
      </c>
      <c r="H41" s="8"/>
      <c r="J41" s="14"/>
    </row>
    <row r="42" customFormat="false" ht="15" hidden="false" customHeight="false" outlineLevel="0" collapsed="false">
      <c r="A42" s="1" t="n">
        <v>1996</v>
      </c>
      <c r="B42" s="1" t="s">
        <v>72</v>
      </c>
      <c r="C42" s="1" t="n">
        <v>41</v>
      </c>
      <c r="D42" s="1" t="n">
        <v>3</v>
      </c>
      <c r="E42" s="1" t="n">
        <v>4</v>
      </c>
      <c r="F42" s="8" t="n">
        <v>0.058268908</v>
      </c>
      <c r="G42" s="8" t="n">
        <v>0.127841917726286</v>
      </c>
      <c r="H42" s="8"/>
      <c r="J42" s="14"/>
    </row>
    <row r="43" customFormat="false" ht="15" hidden="false" customHeight="false" outlineLevel="0" collapsed="false">
      <c r="A43" s="1" t="n">
        <v>1982</v>
      </c>
      <c r="B43" s="1" t="s">
        <v>73</v>
      </c>
      <c r="C43" s="1" t="n">
        <v>42</v>
      </c>
      <c r="D43" s="1" t="n">
        <v>1</v>
      </c>
      <c r="E43" s="1" t="n">
        <v>17</v>
      </c>
      <c r="F43" s="8" t="n">
        <v>-0.222047673</v>
      </c>
      <c r="G43" s="8" t="n">
        <v>0.353575710764518</v>
      </c>
      <c r="H43" s="8"/>
    </row>
    <row r="44" customFormat="false" ht="15" hidden="false" customHeight="false" outlineLevel="0" collapsed="false">
      <c r="A44" s="1" t="n">
        <v>1999</v>
      </c>
      <c r="B44" s="1" t="s">
        <v>74</v>
      </c>
      <c r="C44" s="1" t="n">
        <v>43</v>
      </c>
      <c r="D44" s="1" t="n">
        <v>1</v>
      </c>
      <c r="E44" s="1" t="n">
        <v>18</v>
      </c>
      <c r="F44" s="8" t="n">
        <v>-0.206430512</v>
      </c>
      <c r="G44" s="8" t="n">
        <v>0.115542912750909</v>
      </c>
      <c r="H44" s="8"/>
      <c r="J44" s="14"/>
    </row>
    <row r="45" customFormat="false" ht="15" hidden="false" customHeight="false" outlineLevel="0" collapsed="false">
      <c r="A45" s="1" t="n">
        <v>1999</v>
      </c>
      <c r="B45" s="1" t="s">
        <v>75</v>
      </c>
      <c r="C45" s="1" t="n">
        <v>44</v>
      </c>
      <c r="D45" s="1" t="n">
        <v>17</v>
      </c>
      <c r="E45" s="1" t="n">
        <v>20</v>
      </c>
      <c r="F45" s="8" t="n">
        <v>0.336472237</v>
      </c>
      <c r="G45" s="8" t="n">
        <v>0.125631756344605</v>
      </c>
      <c r="H45" s="8"/>
    </row>
    <row r="46" customFormat="false" ht="15" hidden="false" customHeight="false" outlineLevel="0" collapsed="false">
      <c r="A46" s="1" t="n">
        <v>1997</v>
      </c>
      <c r="B46" s="1" t="s">
        <v>76</v>
      </c>
      <c r="C46" s="1" t="n">
        <v>45</v>
      </c>
      <c r="D46" s="1" t="n">
        <v>2</v>
      </c>
      <c r="E46" s="1" t="n">
        <v>10</v>
      </c>
      <c r="F46" s="8" t="n">
        <v>-0.275935065</v>
      </c>
      <c r="G46" s="8" t="n">
        <v>0.129420396671428</v>
      </c>
      <c r="H46" s="8"/>
      <c r="J46" s="14"/>
    </row>
    <row r="47" customFormat="false" ht="15" hidden="false" customHeight="false" outlineLevel="0" collapsed="false">
      <c r="A47" s="1" t="n">
        <v>1999</v>
      </c>
      <c r="B47" s="1" t="s">
        <v>77</v>
      </c>
      <c r="C47" s="1" t="n">
        <v>46</v>
      </c>
      <c r="D47" s="1" t="n">
        <v>4</v>
      </c>
      <c r="E47" s="1" t="n">
        <v>20</v>
      </c>
      <c r="F47" s="8" t="n">
        <v>0.119680646</v>
      </c>
      <c r="G47" s="8" t="n">
        <v>0.139020074551765</v>
      </c>
      <c r="H47" s="8"/>
    </row>
    <row r="48" customFormat="false" ht="15" hidden="false" customHeight="false" outlineLevel="0" collapsed="false">
      <c r="A48" s="1" t="n">
        <v>2002</v>
      </c>
      <c r="B48" s="1" t="s">
        <v>78</v>
      </c>
      <c r="C48" s="1" t="n">
        <v>47</v>
      </c>
      <c r="D48" s="1" t="n">
        <v>12</v>
      </c>
      <c r="E48" s="1" t="n">
        <v>20</v>
      </c>
      <c r="F48" s="8" t="n">
        <v>0.064538521</v>
      </c>
      <c r="G48" s="8" t="n">
        <v>0.204176884977611</v>
      </c>
      <c r="H48" s="8"/>
      <c r="J48" s="14"/>
    </row>
    <row r="49" customFormat="false" ht="15" hidden="false" customHeight="false" outlineLevel="0" collapsed="false">
      <c r="A49" s="1" t="n">
        <v>1987</v>
      </c>
      <c r="B49" s="1" t="s">
        <v>79</v>
      </c>
      <c r="C49" s="1" t="n">
        <v>48</v>
      </c>
      <c r="D49" s="1" t="n">
        <v>1</v>
      </c>
      <c r="E49" s="1" t="n">
        <v>2</v>
      </c>
      <c r="F49" s="8" t="n">
        <v>-0.269663567</v>
      </c>
      <c r="G49" s="8" t="n">
        <v>0.32882303721354</v>
      </c>
      <c r="H49" s="8"/>
    </row>
    <row r="50" customFormat="false" ht="15" hidden="false" customHeight="false" outlineLevel="0" collapsed="false">
      <c r="A50" s="1" t="n">
        <v>1998</v>
      </c>
      <c r="B50" s="1" t="s">
        <v>80</v>
      </c>
      <c r="C50" s="1" t="n">
        <v>49</v>
      </c>
      <c r="D50" s="1" t="n">
        <v>2</v>
      </c>
      <c r="E50" s="1" t="n">
        <v>3</v>
      </c>
      <c r="F50" s="8" t="n">
        <v>-0.065111532</v>
      </c>
      <c r="G50" s="8" t="n">
        <v>0.131312869612108</v>
      </c>
      <c r="H50" s="8"/>
      <c r="J50" s="14"/>
    </row>
    <row r="51" customFormat="false" ht="15" hidden="false" customHeight="false" outlineLevel="0" collapsed="false">
      <c r="A51" s="1" t="n">
        <v>1980</v>
      </c>
      <c r="B51" s="1" t="s">
        <v>81</v>
      </c>
      <c r="C51" s="1" t="n">
        <v>50</v>
      </c>
      <c r="D51" s="1" t="n">
        <v>17</v>
      </c>
      <c r="E51" s="1" t="n">
        <v>18</v>
      </c>
      <c r="F51" s="8" t="n">
        <v>-1.16315081</v>
      </c>
      <c r="G51" s="8" t="n">
        <v>0.185700432201879</v>
      </c>
      <c r="H51" s="8"/>
    </row>
    <row r="52" customFormat="false" ht="15" hidden="false" customHeight="false" outlineLevel="0" collapsed="false">
      <c r="A52" s="1" t="n">
        <v>1989</v>
      </c>
      <c r="B52" s="1" t="s">
        <v>82</v>
      </c>
      <c r="C52" s="1" t="n">
        <v>51</v>
      </c>
      <c r="D52" s="1" t="n">
        <v>3</v>
      </c>
      <c r="E52" s="1" t="n">
        <v>4</v>
      </c>
      <c r="F52" s="8" t="n">
        <v>-0.484467205</v>
      </c>
      <c r="G52" s="8" t="n">
        <v>0.378031768653893</v>
      </c>
      <c r="H52" s="8"/>
      <c r="J52" s="14"/>
    </row>
    <row r="53" customFormat="false" ht="15" hidden="false" customHeight="false" outlineLevel="0" collapsed="false">
      <c r="A53" s="1" t="n">
        <v>1986</v>
      </c>
      <c r="B53" s="1" t="s">
        <v>83</v>
      </c>
      <c r="C53" s="1" t="n">
        <v>52</v>
      </c>
      <c r="D53" s="1" t="n">
        <v>1</v>
      </c>
      <c r="E53" s="1" t="n">
        <v>3</v>
      </c>
      <c r="F53" s="8" t="n">
        <v>-0.161061557</v>
      </c>
      <c r="G53" s="8" t="n">
        <v>0.220970977016807</v>
      </c>
      <c r="H53" s="8"/>
    </row>
    <row r="54" customFormat="false" ht="15" hidden="false" customHeight="false" outlineLevel="0" collapsed="false">
      <c r="A54" s="1" t="n">
        <v>1987</v>
      </c>
      <c r="B54" s="1" t="s">
        <v>84</v>
      </c>
      <c r="C54" s="1" t="n">
        <v>53</v>
      </c>
      <c r="D54" s="1" t="n">
        <v>2</v>
      </c>
      <c r="E54" s="1" t="n">
        <v>17</v>
      </c>
      <c r="F54" s="15" t="n">
        <f aca="false">LN(0.9656)</f>
        <v>-0.0350056091988153</v>
      </c>
      <c r="G54" s="8" t="n">
        <v>0.1202082</v>
      </c>
      <c r="H54" s="8"/>
      <c r="J54" s="14"/>
    </row>
    <row r="55" customFormat="false" ht="15" hidden="false" customHeight="false" outlineLevel="0" collapsed="false">
      <c r="A55" s="1" t="n">
        <v>1993</v>
      </c>
      <c r="B55" s="1" t="s">
        <v>85</v>
      </c>
      <c r="C55" s="1" t="n">
        <v>54</v>
      </c>
      <c r="D55" s="1" t="n">
        <v>1</v>
      </c>
      <c r="E55" s="1" t="n">
        <v>2</v>
      </c>
      <c r="F55" s="8" t="n">
        <v>0.334260662</v>
      </c>
      <c r="G55" s="8" t="n">
        <v>0.214427751885222</v>
      </c>
      <c r="H55" s="8"/>
      <c r="J55" s="14"/>
    </row>
    <row r="56" customFormat="false" ht="15" hidden="false" customHeight="false" outlineLevel="0" collapsed="false">
      <c r="A56" s="1" t="n">
        <v>1999</v>
      </c>
      <c r="B56" s="1" t="s">
        <v>52</v>
      </c>
      <c r="C56" s="1" t="n">
        <v>55</v>
      </c>
      <c r="D56" s="1" t="n">
        <v>1</v>
      </c>
      <c r="E56" s="1" t="n">
        <v>17</v>
      </c>
      <c r="F56" s="8" t="n">
        <v>-0.153949548</v>
      </c>
      <c r="G56" s="8" t="n">
        <v>0.0990173414021988</v>
      </c>
      <c r="H56" s="8"/>
      <c r="J56" s="14"/>
    </row>
    <row r="57" customFormat="false" ht="15" hidden="false" customHeight="false" outlineLevel="0" collapsed="false">
      <c r="A57" s="1" t="n">
        <v>1995</v>
      </c>
      <c r="B57" s="1" t="s">
        <v>86</v>
      </c>
      <c r="C57" s="1" t="n">
        <v>56</v>
      </c>
      <c r="D57" s="1" t="n">
        <v>1</v>
      </c>
      <c r="E57" s="1" t="n">
        <v>10</v>
      </c>
      <c r="F57" s="8" t="n">
        <v>-0.100083459</v>
      </c>
      <c r="G57" s="8" t="n">
        <v>0.136724255637332</v>
      </c>
      <c r="H57" s="8"/>
    </row>
    <row r="58" customFormat="false" ht="15" hidden="false" customHeight="false" outlineLevel="0" collapsed="false">
      <c r="A58" s="1" t="n">
        <v>2001</v>
      </c>
      <c r="B58" s="1" t="s">
        <v>87</v>
      </c>
      <c r="C58" s="1" t="n">
        <v>57</v>
      </c>
      <c r="D58" s="1" t="n">
        <v>2</v>
      </c>
      <c r="E58" s="1" t="n">
        <v>8</v>
      </c>
      <c r="F58" s="8" t="n">
        <v>0.378436436</v>
      </c>
      <c r="G58" s="8" t="n">
        <v>0.153334820947278</v>
      </c>
      <c r="H58" s="8"/>
      <c r="J58" s="14"/>
    </row>
    <row r="59" customFormat="false" ht="15" hidden="false" customHeight="false" outlineLevel="0" collapsed="false">
      <c r="A59" s="1" t="s">
        <v>88</v>
      </c>
      <c r="B59" s="1" t="s">
        <v>89</v>
      </c>
      <c r="C59" s="1" t="n">
        <v>58</v>
      </c>
      <c r="D59" s="1" t="n">
        <v>2</v>
      </c>
      <c r="E59" s="1" t="n">
        <v>5</v>
      </c>
      <c r="F59" s="8" t="n">
        <v>0.198450939</v>
      </c>
      <c r="G59" s="8" t="n">
        <v>0.148080106244988</v>
      </c>
      <c r="H59" s="8"/>
    </row>
    <row r="60" customFormat="false" ht="15" hidden="false" customHeight="false" outlineLevel="0" collapsed="false">
      <c r="A60" s="1" t="n">
        <v>2000</v>
      </c>
      <c r="B60" s="1" t="s">
        <v>90</v>
      </c>
      <c r="C60" s="1" t="n">
        <v>59</v>
      </c>
      <c r="D60" s="1" t="n">
        <v>4</v>
      </c>
      <c r="E60" s="1" t="n">
        <v>6</v>
      </c>
      <c r="F60" s="8" t="n">
        <v>0.105204992</v>
      </c>
      <c r="G60" s="8" t="n">
        <v>0.125002777436317</v>
      </c>
      <c r="H60" s="8"/>
      <c r="J60" s="14"/>
    </row>
    <row r="61" customFormat="false" ht="15" hidden="false" customHeight="false" outlineLevel="0" collapsed="false">
      <c r="A61" s="1" t="n">
        <v>2001</v>
      </c>
      <c r="B61" s="1" t="s">
        <v>91</v>
      </c>
      <c r="C61" s="1" t="n">
        <v>60</v>
      </c>
      <c r="D61" s="1" t="n">
        <v>2</v>
      </c>
      <c r="E61" s="1" t="n">
        <v>17</v>
      </c>
      <c r="F61" s="8" t="n">
        <v>-0.139262067</v>
      </c>
      <c r="G61" s="8" t="n">
        <v>0.115302327158921</v>
      </c>
      <c r="H61" s="8"/>
    </row>
    <row r="62" customFormat="false" ht="15" hidden="false" customHeight="false" outlineLevel="0" collapsed="false">
      <c r="A62" s="1" t="n">
        <v>1996</v>
      </c>
      <c r="B62" s="1" t="s">
        <v>92</v>
      </c>
      <c r="C62" s="1" t="n">
        <v>61</v>
      </c>
      <c r="D62" s="1" t="n">
        <v>3</v>
      </c>
      <c r="E62" s="1" t="n">
        <v>11</v>
      </c>
      <c r="F62" s="8" t="n">
        <v>-0.171850257</v>
      </c>
      <c r="G62" s="8" t="n">
        <v>0.378723166213568</v>
      </c>
      <c r="H62" s="8"/>
      <c r="J62" s="14"/>
    </row>
    <row r="63" customFormat="false" ht="15" hidden="false" customHeight="false" outlineLevel="0" collapsed="false">
      <c r="A63" s="1" t="n">
        <v>1989</v>
      </c>
      <c r="B63" s="1" t="s">
        <v>63</v>
      </c>
      <c r="C63" s="1" t="n">
        <v>62</v>
      </c>
      <c r="D63" s="1" t="n">
        <v>1</v>
      </c>
      <c r="E63" s="1" t="n">
        <v>3</v>
      </c>
      <c r="F63" s="8" t="n">
        <v>-0.174353387</v>
      </c>
      <c r="G63" s="8" t="n">
        <v>0.153125876582356</v>
      </c>
      <c r="H63" s="8"/>
    </row>
    <row r="64" customFormat="false" ht="15" hidden="false" customHeight="false" outlineLevel="0" collapsed="false">
      <c r="A64" s="1" t="n">
        <v>1996</v>
      </c>
      <c r="B64" s="1" t="s">
        <v>93</v>
      </c>
      <c r="C64" s="1" t="n">
        <v>63</v>
      </c>
      <c r="D64" s="1" t="n">
        <v>2</v>
      </c>
      <c r="E64" s="1" t="n">
        <v>10</v>
      </c>
      <c r="F64" s="8" t="n">
        <v>-0.154942339</v>
      </c>
      <c r="G64" s="8" t="n">
        <v>0.214459283725444</v>
      </c>
      <c r="H64" s="8"/>
      <c r="J64" s="14"/>
    </row>
    <row r="65" customFormat="false" ht="15" hidden="false" customHeight="false" outlineLevel="0" collapsed="false">
      <c r="A65" s="1" t="n">
        <v>1983</v>
      </c>
      <c r="B65" s="1" t="s">
        <v>94</v>
      </c>
      <c r="C65" s="1" t="n">
        <v>64</v>
      </c>
      <c r="D65" s="1" t="n">
        <v>2</v>
      </c>
      <c r="E65" s="1" t="n">
        <v>4</v>
      </c>
      <c r="F65" s="8" t="n">
        <v>-0.336472237</v>
      </c>
      <c r="G65" s="8" t="n">
        <v>0.181662831936212</v>
      </c>
      <c r="H65" s="8"/>
    </row>
    <row r="66" customFormat="false" ht="15" hidden="false" customHeight="false" outlineLevel="0" collapsed="false">
      <c r="A66" s="1" t="n">
        <v>1997</v>
      </c>
      <c r="B66" s="1" t="s">
        <v>95</v>
      </c>
      <c r="C66" s="1" t="n">
        <v>65</v>
      </c>
      <c r="D66" s="1" t="n">
        <v>2</v>
      </c>
      <c r="E66" s="1" t="n">
        <v>18</v>
      </c>
      <c r="F66" s="8" t="n">
        <v>0.133531393</v>
      </c>
      <c r="G66" s="8" t="n">
        <v>0.329493834534002</v>
      </c>
      <c r="H66" s="8"/>
      <c r="J66" s="14"/>
    </row>
    <row r="67" customFormat="false" ht="15" hidden="false" customHeight="false" outlineLevel="0" collapsed="false">
      <c r="A67" s="1" t="n">
        <v>1991</v>
      </c>
      <c r="B67" s="1" t="s">
        <v>96</v>
      </c>
      <c r="C67" s="1" t="n">
        <v>66</v>
      </c>
      <c r="D67" s="1" t="n">
        <v>3</v>
      </c>
      <c r="E67" s="1" t="n">
        <v>4</v>
      </c>
      <c r="F67" s="8" t="n">
        <v>-0.087011377</v>
      </c>
      <c r="G67" s="8" t="n">
        <v>0.365238572386409</v>
      </c>
      <c r="H67" s="8"/>
    </row>
    <row r="68" customFormat="false" ht="15" hidden="false" customHeight="false" outlineLevel="0" collapsed="false">
      <c r="A68" s="1" t="n">
        <v>1991</v>
      </c>
      <c r="B68" s="1" t="s">
        <v>97</v>
      </c>
      <c r="C68" s="1" t="n">
        <v>67</v>
      </c>
      <c r="D68" s="1" t="n">
        <v>1</v>
      </c>
      <c r="E68" s="1" t="n">
        <v>17</v>
      </c>
      <c r="F68" s="8" t="n">
        <v>0.067079279</v>
      </c>
      <c r="G68" s="8" t="n">
        <v>0.229428998872734</v>
      </c>
      <c r="H68" s="8"/>
      <c r="J68" s="14"/>
    </row>
    <row r="69" customFormat="false" ht="15" hidden="false" customHeight="false" outlineLevel="0" collapsed="false">
      <c r="A69" s="1" t="n">
        <v>1987</v>
      </c>
      <c r="B69" s="1" t="s">
        <v>98</v>
      </c>
      <c r="C69" s="1" t="n">
        <v>68</v>
      </c>
      <c r="D69" s="1" t="n">
        <v>1</v>
      </c>
      <c r="E69" s="1" t="n">
        <v>2</v>
      </c>
      <c r="F69" s="8" t="n">
        <v>-0.068992871</v>
      </c>
      <c r="G69" s="8" t="n">
        <v>0.143591631723548</v>
      </c>
      <c r="H69" s="8"/>
    </row>
    <row r="70" customFormat="false" ht="15" hidden="false" customHeight="false" outlineLevel="0" collapsed="false">
      <c r="A70" s="1" t="n">
        <v>2003</v>
      </c>
      <c r="B70" s="1" t="s">
        <v>75</v>
      </c>
      <c r="C70" s="1" t="n">
        <v>69</v>
      </c>
      <c r="D70" s="1" t="n">
        <v>2</v>
      </c>
      <c r="E70" s="1" t="n">
        <v>8</v>
      </c>
      <c r="F70" s="8" t="n">
        <v>0.12199533</v>
      </c>
      <c r="G70" s="8" t="n">
        <v>0.108306366325719</v>
      </c>
      <c r="H70" s="8"/>
      <c r="J70" s="14"/>
    </row>
    <row r="71" customFormat="false" ht="15" hidden="false" customHeight="false" outlineLevel="0" collapsed="false">
      <c r="A71" s="1" t="n">
        <v>1999</v>
      </c>
      <c r="B71" s="1" t="s">
        <v>99</v>
      </c>
      <c r="C71" s="1" t="n">
        <v>70</v>
      </c>
      <c r="D71" s="1" t="n">
        <v>2</v>
      </c>
      <c r="E71" s="1" t="n">
        <v>6</v>
      </c>
      <c r="F71" s="8" t="n">
        <v>0.028491956</v>
      </c>
      <c r="G71" s="8" t="n">
        <v>0.175411603861406</v>
      </c>
      <c r="H71" s="8"/>
      <c r="J71" s="14"/>
    </row>
    <row r="72" customFormat="false" ht="15" hidden="false" customHeight="false" outlineLevel="0" collapsed="false">
      <c r="A72" s="1" t="n">
        <v>1989</v>
      </c>
      <c r="B72" s="1" t="s">
        <v>100</v>
      </c>
      <c r="C72" s="1" t="n">
        <v>71</v>
      </c>
      <c r="D72" s="1" t="n">
        <v>1</v>
      </c>
      <c r="E72" s="1" t="n">
        <v>2</v>
      </c>
      <c r="F72" s="8" t="n">
        <v>0.142082514</v>
      </c>
      <c r="G72" s="8" t="n">
        <v>0.152196110335852</v>
      </c>
      <c r="H72" s="8"/>
    </row>
    <row r="73" customFormat="false" ht="15" hidden="false" customHeight="false" outlineLevel="0" collapsed="false">
      <c r="A73" s="1" t="n">
        <v>1993</v>
      </c>
      <c r="B73" s="1" t="s">
        <v>101</v>
      </c>
      <c r="C73" s="1" t="n">
        <v>72</v>
      </c>
      <c r="D73" s="1" t="n">
        <v>3</v>
      </c>
      <c r="E73" s="1" t="n">
        <v>17</v>
      </c>
      <c r="F73" s="8" t="n">
        <v>0.409590201</v>
      </c>
      <c r="G73" s="8" t="n">
        <v>0.348591323744001</v>
      </c>
      <c r="H73" s="8"/>
      <c r="J73" s="14"/>
    </row>
    <row r="74" customFormat="false" ht="15" hidden="false" customHeight="false" outlineLevel="0" collapsed="false">
      <c r="A74" s="1" t="n">
        <v>1987</v>
      </c>
      <c r="B74" s="1" t="s">
        <v>81</v>
      </c>
      <c r="C74" s="1" t="n">
        <v>73</v>
      </c>
      <c r="D74" s="1" t="n">
        <v>3</v>
      </c>
      <c r="E74" s="1" t="n">
        <v>4</v>
      </c>
      <c r="F74" s="8" t="n">
        <v>0.948950613</v>
      </c>
      <c r="G74" s="8" t="n">
        <v>0.338061701891407</v>
      </c>
      <c r="H74" s="8"/>
    </row>
    <row r="75" customFormat="false" ht="15" hidden="false" customHeight="false" outlineLevel="0" collapsed="false">
      <c r="A75" s="1" t="n">
        <v>1999</v>
      </c>
      <c r="B75" s="1" t="s">
        <v>102</v>
      </c>
      <c r="C75" s="1" t="n">
        <v>74</v>
      </c>
      <c r="D75" s="1" t="n">
        <v>1</v>
      </c>
      <c r="E75" s="1" t="n">
        <v>10</v>
      </c>
      <c r="F75" s="8" t="n">
        <v>-0.412633211</v>
      </c>
      <c r="G75" s="8" t="n">
        <v>0.169641820774333</v>
      </c>
      <c r="H75" s="8"/>
      <c r="J75" s="14"/>
    </row>
    <row r="76" customFormat="false" ht="15" hidden="false" customHeight="false" outlineLevel="0" collapsed="false">
      <c r="A76" s="1" t="n">
        <v>2000</v>
      </c>
      <c r="B76" s="1" t="s">
        <v>20</v>
      </c>
      <c r="C76" s="1" t="n">
        <v>75</v>
      </c>
      <c r="D76" s="1" t="n">
        <v>2</v>
      </c>
      <c r="E76" s="1" t="n">
        <v>4</v>
      </c>
      <c r="F76" s="8" t="n">
        <v>-0.303995648</v>
      </c>
      <c r="G76" s="8" t="n">
        <v>0.201430236844211</v>
      </c>
      <c r="H76" s="8"/>
      <c r="J76" s="14"/>
    </row>
    <row r="77" customFormat="false" ht="15" hidden="false" customHeight="false" outlineLevel="0" collapsed="false">
      <c r="A77" s="1" t="n">
        <v>1988</v>
      </c>
      <c r="B77" s="1" t="s">
        <v>103</v>
      </c>
      <c r="C77" s="1" t="n">
        <v>76</v>
      </c>
      <c r="D77" s="1" t="n">
        <v>1</v>
      </c>
      <c r="E77" s="1" t="n">
        <v>2</v>
      </c>
      <c r="F77" s="8" t="n">
        <v>0.272352186</v>
      </c>
      <c r="G77" s="8" t="n">
        <v>0.151208658866678</v>
      </c>
      <c r="H77" s="8"/>
    </row>
    <row r="78" customFormat="false" ht="15" hidden="false" customHeight="false" outlineLevel="0" collapsed="false">
      <c r="A78" s="1" t="n">
        <v>1988</v>
      </c>
      <c r="B78" s="1" t="s">
        <v>104</v>
      </c>
      <c r="C78" s="1" t="n">
        <v>77</v>
      </c>
      <c r="D78" s="1" t="n">
        <v>1</v>
      </c>
      <c r="E78" s="1" t="n">
        <v>2</v>
      </c>
      <c r="F78" s="8" t="n">
        <v>0.036386025</v>
      </c>
      <c r="G78" s="8" t="n">
        <v>0.119737172725738</v>
      </c>
      <c r="H78" s="8"/>
      <c r="J78" s="14"/>
    </row>
    <row r="79" customFormat="false" ht="15" hidden="false" customHeight="false" outlineLevel="0" collapsed="false">
      <c r="A79" s="1" t="n">
        <v>2004</v>
      </c>
      <c r="B79" s="1" t="s">
        <v>105</v>
      </c>
      <c r="C79" s="1" t="n">
        <v>78</v>
      </c>
      <c r="D79" s="1" t="n">
        <v>4</v>
      </c>
      <c r="E79" s="1" t="n">
        <v>6</v>
      </c>
      <c r="F79" s="8" t="n">
        <v>0.076249084</v>
      </c>
      <c r="G79" s="8" t="n">
        <v>0.113047060853791</v>
      </c>
      <c r="H79" s="8"/>
    </row>
    <row r="80" customFormat="false" ht="15" hidden="false" customHeight="false" outlineLevel="0" collapsed="false">
      <c r="A80" s="1" t="n">
        <v>2005</v>
      </c>
      <c r="B80" s="1" t="s">
        <v>106</v>
      </c>
      <c r="C80" s="1" t="n">
        <v>79</v>
      </c>
      <c r="D80" s="1" t="n">
        <v>17</v>
      </c>
      <c r="E80" s="1" t="n">
        <v>20</v>
      </c>
      <c r="F80" s="8" t="n">
        <v>-0.324360031</v>
      </c>
      <c r="G80" s="8" t="n">
        <v>0.157136949016883</v>
      </c>
      <c r="H80" s="8"/>
      <c r="J80" s="14"/>
    </row>
    <row r="81" customFormat="false" ht="15" hidden="false" customHeight="false" outlineLevel="0" collapsed="false">
      <c r="A81" s="1" t="n">
        <v>2004</v>
      </c>
      <c r="B81" s="1" t="s">
        <v>78</v>
      </c>
      <c r="C81" s="1" t="n">
        <v>80</v>
      </c>
      <c r="D81" s="1" t="n">
        <v>2</v>
      </c>
      <c r="E81" s="1" t="n">
        <v>8</v>
      </c>
      <c r="F81" s="8" t="n">
        <v>0.194156014</v>
      </c>
      <c r="G81" s="8" t="n">
        <v>0.232518341937376</v>
      </c>
      <c r="H81" s="8"/>
    </row>
    <row r="82" customFormat="false" ht="15" hidden="false" customHeight="false" outlineLevel="0" collapsed="false">
      <c r="A82" s="1" t="n">
        <v>2004</v>
      </c>
      <c r="B82" s="1" t="s">
        <v>107</v>
      </c>
      <c r="C82" s="1" t="n">
        <v>81</v>
      </c>
      <c r="D82" s="1" t="n">
        <v>4</v>
      </c>
      <c r="E82" s="1" t="n">
        <v>13</v>
      </c>
      <c r="F82" s="8" t="n">
        <v>-0.048790164</v>
      </c>
      <c r="G82" s="8" t="n">
        <v>0.123374969686592</v>
      </c>
      <c r="H82" s="8"/>
      <c r="J82" s="14"/>
    </row>
    <row r="83" customFormat="false" ht="15" hidden="false" customHeight="false" outlineLevel="0" collapsed="false">
      <c r="A83" s="1" t="n">
        <v>2005</v>
      </c>
      <c r="B83" s="1" t="s">
        <v>108</v>
      </c>
      <c r="C83" s="1" t="n">
        <v>82</v>
      </c>
      <c r="D83" s="1" t="n">
        <v>2</v>
      </c>
      <c r="E83" s="1" t="n">
        <v>7</v>
      </c>
      <c r="F83" s="8" t="n">
        <v>0.16952246</v>
      </c>
      <c r="G83" s="8" t="n">
        <v>0.203457228856927</v>
      </c>
      <c r="H83" s="8"/>
    </row>
    <row r="84" customFormat="false" ht="15" hidden="false" customHeight="false" outlineLevel="0" collapsed="false">
      <c r="A84" s="1" t="n">
        <v>2005</v>
      </c>
      <c r="B84" s="1" t="s">
        <v>109</v>
      </c>
      <c r="C84" s="1" t="n">
        <v>83</v>
      </c>
      <c r="D84" s="1" t="n">
        <v>13</v>
      </c>
      <c r="E84" s="1" t="n">
        <v>14</v>
      </c>
      <c r="F84" s="8" t="n">
        <v>0.040546094</v>
      </c>
      <c r="G84" s="8" t="n">
        <v>0.151187206050432</v>
      </c>
      <c r="H84" s="8"/>
      <c r="J84" s="14"/>
    </row>
    <row r="85" customFormat="false" ht="15" hidden="false" customHeight="false" outlineLevel="0" collapsed="false">
      <c r="A85" s="1" t="n">
        <v>2004</v>
      </c>
      <c r="B85" s="1" t="s">
        <v>110</v>
      </c>
      <c r="C85" s="1" t="n">
        <v>84</v>
      </c>
      <c r="D85" s="1" t="n">
        <v>8</v>
      </c>
      <c r="E85" s="1" t="n">
        <v>19</v>
      </c>
      <c r="F85" s="8" t="n">
        <v>0.181887058</v>
      </c>
      <c r="G85" s="8" t="n">
        <v>0.158114622196006</v>
      </c>
      <c r="H85" s="8"/>
    </row>
    <row r="86" customFormat="false" ht="15" hidden="false" customHeight="false" outlineLevel="0" collapsed="false">
      <c r="A86" s="1" t="n">
        <v>2004</v>
      </c>
      <c r="B86" s="1" t="s">
        <v>111</v>
      </c>
      <c r="C86" s="1" t="n">
        <v>85</v>
      </c>
      <c r="D86" s="1" t="n">
        <v>2</v>
      </c>
      <c r="E86" s="1" t="n">
        <v>8</v>
      </c>
      <c r="F86" s="8" t="n">
        <v>-0.656779536</v>
      </c>
      <c r="G86" s="8" t="n">
        <v>0.227934918235836</v>
      </c>
      <c r="H86" s="8"/>
      <c r="J86" s="14"/>
    </row>
    <row r="87" customFormat="false" ht="15" hidden="false" customHeight="false" outlineLevel="0" collapsed="false">
      <c r="A87" s="1" t="n">
        <v>1987</v>
      </c>
      <c r="B87" s="1" t="s">
        <v>112</v>
      </c>
      <c r="C87" s="1" t="n">
        <v>86</v>
      </c>
      <c r="D87" s="1" t="n">
        <v>2</v>
      </c>
      <c r="E87" s="1" t="n">
        <v>10</v>
      </c>
      <c r="F87" s="8" t="n">
        <v>0.262364264</v>
      </c>
      <c r="G87" s="8" t="n">
        <v>0.190615919502844</v>
      </c>
      <c r="H87" s="8"/>
    </row>
    <row r="88" customFormat="false" ht="15" hidden="false" customHeight="false" outlineLevel="0" collapsed="false">
      <c r="A88" s="1" t="n">
        <v>2005</v>
      </c>
      <c r="B88" s="1" t="s">
        <v>113</v>
      </c>
      <c r="C88" s="1" t="n">
        <v>87</v>
      </c>
      <c r="D88" s="1" t="n">
        <v>4</v>
      </c>
      <c r="E88" s="1" t="n">
        <v>13</v>
      </c>
      <c r="F88" s="8" t="n">
        <v>-0.551192049</v>
      </c>
      <c r="G88" s="8" t="n">
        <v>0.155700283299444</v>
      </c>
      <c r="H88" s="8"/>
      <c r="J88" s="14"/>
    </row>
    <row r="89" customFormat="false" ht="15" hidden="false" customHeight="false" outlineLevel="0" collapsed="false">
      <c r="A89" s="1" t="n">
        <v>2005</v>
      </c>
      <c r="B89" s="1" t="s">
        <v>114</v>
      </c>
      <c r="C89" s="1" t="n">
        <v>88</v>
      </c>
      <c r="D89" s="1" t="n">
        <v>20</v>
      </c>
      <c r="E89" s="1" t="n">
        <v>21</v>
      </c>
      <c r="F89" s="8" t="n">
        <v>0.31805317</v>
      </c>
      <c r="G89" s="8" t="n">
        <v>0.148747650719539</v>
      </c>
      <c r="H89" s="8"/>
    </row>
    <row r="90" customFormat="false" ht="15" hidden="false" customHeight="false" outlineLevel="0" collapsed="false">
      <c r="A90" s="1" t="n">
        <v>2005</v>
      </c>
      <c r="B90" s="1" t="s">
        <v>115</v>
      </c>
      <c r="C90" s="1" t="n">
        <v>89</v>
      </c>
      <c r="D90" s="1" t="n">
        <v>2</v>
      </c>
      <c r="E90" s="1" t="n">
        <v>8</v>
      </c>
      <c r="F90" s="8" t="n">
        <v>-0.019802627</v>
      </c>
      <c r="G90" s="8" t="n">
        <v>0.0799018811596501</v>
      </c>
      <c r="H90" s="8"/>
      <c r="J90" s="14"/>
    </row>
    <row r="91" customFormat="false" ht="15" hidden="false" customHeight="false" outlineLevel="0" collapsed="false">
      <c r="A91" s="1" t="n">
        <v>2005</v>
      </c>
      <c r="B91" s="1" t="s">
        <v>116</v>
      </c>
      <c r="C91" s="1" t="n">
        <v>90</v>
      </c>
      <c r="D91" s="1" t="n">
        <v>2</v>
      </c>
      <c r="E91" s="1" t="n">
        <v>8</v>
      </c>
      <c r="F91" s="8" t="n">
        <v>0.357674444</v>
      </c>
      <c r="G91" s="8" t="n">
        <v>0.151544969425397</v>
      </c>
      <c r="H91" s="8"/>
    </row>
    <row r="92" customFormat="false" ht="15" hidden="false" customHeight="false" outlineLevel="0" collapsed="false">
      <c r="A92" s="1" t="n">
        <v>2007</v>
      </c>
      <c r="B92" s="1" t="s">
        <v>117</v>
      </c>
      <c r="C92" s="1" t="n">
        <v>91</v>
      </c>
      <c r="D92" s="1" t="n">
        <v>12</v>
      </c>
      <c r="E92" s="1" t="n">
        <v>13</v>
      </c>
      <c r="F92" s="8" t="n">
        <v>0.036378456</v>
      </c>
      <c r="G92" s="8" t="n">
        <v>0.147044091238126</v>
      </c>
      <c r="H92" s="8"/>
      <c r="J92" s="14"/>
    </row>
    <row r="93" customFormat="false" ht="15" hidden="false" customHeight="false" outlineLevel="0" collapsed="false">
      <c r="A93" s="1" t="n">
        <v>2006</v>
      </c>
      <c r="B93" s="1" t="s">
        <v>118</v>
      </c>
      <c r="C93" s="1" t="n">
        <v>92</v>
      </c>
      <c r="D93" s="1" t="n">
        <v>13</v>
      </c>
      <c r="E93" s="1" t="n">
        <v>15</v>
      </c>
      <c r="F93" s="8" t="n">
        <v>0.083381609</v>
      </c>
      <c r="G93" s="8" t="n">
        <v>0.23550092121573</v>
      </c>
      <c r="H93" s="8"/>
    </row>
    <row r="94" customFormat="false" ht="15" hidden="false" customHeight="false" outlineLevel="0" collapsed="false">
      <c r="A94" s="1" t="n">
        <v>2005</v>
      </c>
      <c r="B94" s="1" t="s">
        <v>119</v>
      </c>
      <c r="C94" s="1" t="n">
        <v>93</v>
      </c>
      <c r="D94" s="1" t="n">
        <v>16</v>
      </c>
      <c r="E94" s="1" t="n">
        <v>20</v>
      </c>
      <c r="F94" s="8" t="n">
        <v>-0.248461359</v>
      </c>
      <c r="G94" s="8" t="n">
        <v>0.10745241451349</v>
      </c>
      <c r="H94" s="8"/>
      <c r="J94" s="14"/>
    </row>
    <row r="95" customFormat="false" ht="15" hidden="false" customHeight="false" outlineLevel="0" collapsed="false">
      <c r="A95" s="1" t="n">
        <v>2007</v>
      </c>
      <c r="B95" s="1" t="s">
        <v>120</v>
      </c>
      <c r="C95" s="1" t="n">
        <v>94</v>
      </c>
      <c r="D95" s="1" t="n">
        <v>1</v>
      </c>
      <c r="E95" s="1" t="n">
        <v>2</v>
      </c>
      <c r="F95" s="8" t="n">
        <v>-0.091831148</v>
      </c>
      <c r="G95" s="8" t="n">
        <v>0.111459956306546</v>
      </c>
      <c r="H95" s="8"/>
    </row>
    <row r="96" customFormat="false" ht="15" hidden="false" customHeight="false" outlineLevel="0" collapsed="false">
      <c r="A96" s="1" t="n">
        <v>2007</v>
      </c>
      <c r="B96" s="1" t="s">
        <v>121</v>
      </c>
      <c r="C96" s="1" t="n">
        <v>95</v>
      </c>
      <c r="D96" s="1" t="n">
        <v>13</v>
      </c>
      <c r="E96" s="1" t="n">
        <v>17</v>
      </c>
      <c r="F96" s="8" t="n">
        <v>-0.328504067</v>
      </c>
      <c r="G96" s="8" t="n">
        <v>0.136724897162178</v>
      </c>
      <c r="H96" s="8"/>
      <c r="J96" s="14"/>
    </row>
    <row r="97" customFormat="false" ht="15" hidden="false" customHeight="false" outlineLevel="0" collapsed="false">
      <c r="A97" s="1" t="n">
        <v>2006</v>
      </c>
      <c r="B97" s="1" t="s">
        <v>122</v>
      </c>
      <c r="C97" s="1" t="n">
        <v>96</v>
      </c>
      <c r="D97" s="1" t="n">
        <v>16</v>
      </c>
      <c r="E97" s="1" t="n">
        <v>20</v>
      </c>
      <c r="F97" s="8" t="n">
        <v>-0.638658995</v>
      </c>
      <c r="G97" s="8" t="n">
        <v>0.312754430262916</v>
      </c>
      <c r="H97" s="8"/>
    </row>
    <row r="98" customFormat="false" ht="15" hidden="false" customHeight="false" outlineLevel="0" collapsed="false">
      <c r="A98" s="1" t="n">
        <v>2007</v>
      </c>
      <c r="B98" s="1" t="s">
        <v>123</v>
      </c>
      <c r="C98" s="1" t="n">
        <v>97</v>
      </c>
      <c r="D98" s="1" t="n">
        <v>20</v>
      </c>
      <c r="E98" s="1" t="n">
        <v>22</v>
      </c>
      <c r="F98" s="8" t="n">
        <v>0.15082289</v>
      </c>
      <c r="G98" s="8" t="n">
        <v>0.115302327158921</v>
      </c>
      <c r="H98" s="8"/>
      <c r="J98" s="14"/>
    </row>
    <row r="99" customFormat="false" ht="15" hidden="false" customHeight="false" outlineLevel="0" collapsed="false">
      <c r="A99" s="1" t="n">
        <v>1991</v>
      </c>
      <c r="B99" s="1" t="s">
        <v>124</v>
      </c>
      <c r="C99" s="1" t="n">
        <v>98</v>
      </c>
      <c r="D99" s="1" t="n">
        <v>2</v>
      </c>
      <c r="E99" s="1" t="n">
        <v>17</v>
      </c>
      <c r="F99" s="8" t="n">
        <v>-0.218370273</v>
      </c>
      <c r="G99" s="8" t="n">
        <v>0.232571743304318</v>
      </c>
      <c r="H99" s="8"/>
    </row>
    <row r="100" customFormat="false" ht="15" hidden="false" customHeight="false" outlineLevel="0" collapsed="false">
      <c r="A100" s="1" t="n">
        <v>1989</v>
      </c>
      <c r="B100" s="1" t="s">
        <v>125</v>
      </c>
      <c r="C100" s="1" t="n">
        <v>99</v>
      </c>
      <c r="D100" s="1" t="n">
        <v>17</v>
      </c>
      <c r="E100" s="1" t="n">
        <v>18</v>
      </c>
      <c r="F100" s="8" t="n">
        <v>-0.223143551</v>
      </c>
      <c r="G100" s="8" t="n">
        <v>0.139864339478397</v>
      </c>
      <c r="H100" s="8"/>
      <c r="J100" s="14"/>
    </row>
    <row r="101" customFormat="false" ht="15" hidden="false" customHeight="false" outlineLevel="0" collapsed="false">
      <c r="A101" s="1" t="n">
        <v>1977</v>
      </c>
      <c r="B101" s="1" t="s">
        <v>24</v>
      </c>
      <c r="C101" s="1" t="n">
        <v>100</v>
      </c>
      <c r="D101" s="1" t="n">
        <v>2</v>
      </c>
      <c r="E101" s="1" t="n">
        <v>17</v>
      </c>
      <c r="F101" s="8" t="n">
        <v>-0.509238123</v>
      </c>
      <c r="G101" s="8" t="n">
        <v>0.270757042067815</v>
      </c>
      <c r="H101" s="8"/>
    </row>
    <row r="102" customFormat="false" ht="15" hidden="false" customHeight="false" outlineLevel="0" collapsed="false">
      <c r="A102" s="1" t="n">
        <v>1988</v>
      </c>
      <c r="B102" s="1" t="s">
        <v>126</v>
      </c>
      <c r="C102" s="1" t="n">
        <v>101</v>
      </c>
      <c r="D102" s="1" t="n">
        <v>1</v>
      </c>
      <c r="E102" s="1" t="n">
        <v>4</v>
      </c>
      <c r="F102" s="8" t="n">
        <v>-0.104360015</v>
      </c>
      <c r="G102" s="8" t="n">
        <v>0.193077293873197</v>
      </c>
      <c r="H102" s="8"/>
      <c r="J102" s="16"/>
    </row>
    <row r="103" customFormat="false" ht="15" hidden="false" customHeight="false" outlineLevel="0" collapsed="false">
      <c r="A103" s="1" t="n">
        <v>1990</v>
      </c>
      <c r="B103" s="1" t="s">
        <v>38</v>
      </c>
      <c r="C103" s="1" t="n">
        <v>102</v>
      </c>
      <c r="D103" s="1" t="n">
        <v>17</v>
      </c>
      <c r="E103" s="1" t="n">
        <v>18</v>
      </c>
      <c r="F103" s="8" t="n">
        <v>-0.05630201</v>
      </c>
      <c r="G103" s="8" t="n">
        <v>0.222232697585646</v>
      </c>
      <c r="H103" s="8"/>
    </row>
    <row r="104" customFormat="false" ht="15" hidden="false" customHeight="false" outlineLevel="0" collapsed="false">
      <c r="A104" s="1" t="s">
        <v>127</v>
      </c>
      <c r="B104" s="1" t="s">
        <v>89</v>
      </c>
      <c r="C104" s="1" t="n">
        <v>103</v>
      </c>
      <c r="D104" s="1" t="n">
        <v>20</v>
      </c>
      <c r="E104" s="1" t="n">
        <v>21</v>
      </c>
      <c r="F104" s="8" t="n">
        <v>0.223143551</v>
      </c>
      <c r="G104" s="8" t="n">
        <v>0.174535334988148</v>
      </c>
      <c r="H104" s="8"/>
      <c r="J104" s="16"/>
    </row>
    <row r="105" customFormat="false" ht="15" hidden="false" customHeight="false" outlineLevel="0" collapsed="false">
      <c r="A105" s="1" t="n">
        <v>1979</v>
      </c>
      <c r="B105" s="1" t="s">
        <v>128</v>
      </c>
      <c r="C105" s="1" t="n">
        <v>104</v>
      </c>
      <c r="D105" s="1" t="n">
        <v>1</v>
      </c>
      <c r="E105" s="1" t="n">
        <v>2</v>
      </c>
      <c r="F105" s="8" t="n">
        <v>-0.076633226</v>
      </c>
      <c r="G105" s="8" t="n">
        <v>0.223657428339649</v>
      </c>
      <c r="H105" s="8"/>
    </row>
    <row r="106" customFormat="false" ht="15" hidden="false" customHeight="false" outlineLevel="0" collapsed="false">
      <c r="A106" s="1" t="s">
        <v>129</v>
      </c>
      <c r="B106" s="1" t="s">
        <v>130</v>
      </c>
      <c r="C106" s="1" t="n">
        <v>105</v>
      </c>
      <c r="D106" s="1" t="n">
        <v>1</v>
      </c>
      <c r="E106" s="1" t="n">
        <v>17</v>
      </c>
      <c r="F106" s="8" t="n">
        <v>-0.2513</v>
      </c>
      <c r="G106" s="8" t="n">
        <v>0.422492599577496</v>
      </c>
      <c r="H106" s="8"/>
      <c r="J106" s="14"/>
    </row>
    <row r="107" customFormat="false" ht="15" hidden="false" customHeight="false" outlineLevel="0" collapsed="false">
      <c r="A107" s="1" t="n">
        <v>1985</v>
      </c>
      <c r="B107" s="1" t="s">
        <v>131</v>
      </c>
      <c r="C107" s="1" t="n">
        <v>106</v>
      </c>
      <c r="D107" s="1" t="n">
        <v>2</v>
      </c>
      <c r="E107" s="1" t="n">
        <v>17</v>
      </c>
      <c r="F107" s="8" t="n">
        <v>-0.1632</v>
      </c>
      <c r="G107" s="8" t="n">
        <v>0.2</v>
      </c>
      <c r="H107" s="8"/>
    </row>
    <row r="108" customFormat="false" ht="15" hidden="false" customHeight="false" outlineLevel="0" collapsed="false">
      <c r="A108" s="1" t="s">
        <v>132</v>
      </c>
      <c r="B108" s="1" t="s">
        <v>97</v>
      </c>
      <c r="C108" s="1" t="n">
        <v>107</v>
      </c>
      <c r="D108" s="1" t="n">
        <v>17</v>
      </c>
      <c r="E108" s="1" t="n">
        <v>18</v>
      </c>
      <c r="F108" s="8" t="n">
        <v>-0.3477</v>
      </c>
      <c r="G108" s="8" t="n">
        <v>0.308220697066242</v>
      </c>
      <c r="H108" s="8"/>
      <c r="J108" s="16"/>
    </row>
    <row r="109" customFormat="false" ht="15" hidden="false" customHeight="false" outlineLevel="0" collapsed="false">
      <c r="A109" s="1" t="s">
        <v>133</v>
      </c>
      <c r="B109" s="1" t="s">
        <v>97</v>
      </c>
      <c r="C109" s="1" t="n">
        <v>108</v>
      </c>
      <c r="D109" s="1" t="n">
        <v>17</v>
      </c>
      <c r="E109" s="1" t="n">
        <v>18</v>
      </c>
      <c r="F109" s="8" t="n">
        <v>0.2801</v>
      </c>
      <c r="G109" s="8" t="n">
        <v>0.316227766016838</v>
      </c>
      <c r="H109" s="8"/>
    </row>
    <row r="110" customFormat="false" ht="15" hidden="false" customHeight="false" outlineLevel="0" collapsed="false">
      <c r="A110" s="1" t="n">
        <v>1987</v>
      </c>
      <c r="B110" s="1" t="s">
        <v>97</v>
      </c>
      <c r="C110" s="1" t="n">
        <v>109</v>
      </c>
      <c r="D110" s="1" t="n">
        <v>3</v>
      </c>
      <c r="E110" s="1" t="n">
        <v>17</v>
      </c>
      <c r="F110" s="8" t="n">
        <v>0.4396</v>
      </c>
      <c r="G110" s="8" t="n">
        <v>0.266458252289172</v>
      </c>
      <c r="H110" s="8"/>
      <c r="J110" s="14"/>
    </row>
    <row r="111" customFormat="false" ht="15" hidden="false" customHeight="false" outlineLevel="0" collapsed="false">
      <c r="A111" s="1" t="s">
        <v>134</v>
      </c>
      <c r="B111" s="1" t="s">
        <v>135</v>
      </c>
      <c r="C111" s="1" t="n">
        <v>110</v>
      </c>
      <c r="D111" s="1" t="n">
        <v>1</v>
      </c>
      <c r="E111" s="1" t="n">
        <v>17</v>
      </c>
      <c r="F111" s="17" t="n">
        <f aca="false">LN(0.8367)</f>
        <v>-0.178289695680584</v>
      </c>
      <c r="G111" s="8" t="n">
        <v>0.1377499</v>
      </c>
      <c r="H111" s="8"/>
    </row>
    <row r="112" customFormat="false" ht="15" hidden="false" customHeight="false" outlineLevel="0" collapsed="false">
      <c r="A112" s="1" t="n">
        <v>2000</v>
      </c>
      <c r="B112" s="1" t="s">
        <v>136</v>
      </c>
      <c r="C112" s="1" t="n">
        <v>111</v>
      </c>
      <c r="D112" s="1" t="n">
        <v>10</v>
      </c>
      <c r="E112" s="1" t="n">
        <v>17</v>
      </c>
      <c r="F112" s="8" t="n">
        <v>0</v>
      </c>
      <c r="G112" s="8" t="n">
        <v>0.248098830549726</v>
      </c>
      <c r="H112" s="8"/>
      <c r="J112" s="14"/>
    </row>
    <row r="113" customFormat="false" ht="15" hidden="false" customHeight="false" outlineLevel="0" collapsed="false">
      <c r="A113" s="1" t="n">
        <v>2000</v>
      </c>
      <c r="B113" s="1" t="s">
        <v>136</v>
      </c>
      <c r="C113" s="1" t="n">
        <v>111</v>
      </c>
      <c r="D113" s="1" t="n">
        <v>13</v>
      </c>
      <c r="E113" s="1" t="n">
        <v>17</v>
      </c>
      <c r="F113" s="8" t="n">
        <v>-0.054067221</v>
      </c>
      <c r="G113" s="8" t="n">
        <v>0.246182981958665</v>
      </c>
      <c r="H113" s="8"/>
    </row>
    <row r="114" customFormat="false" ht="15" hidden="false" customHeight="false" outlineLevel="0" collapsed="false">
      <c r="A114" s="1" t="n">
        <v>2000</v>
      </c>
      <c r="B114" s="1" t="s">
        <v>136</v>
      </c>
      <c r="C114" s="1" t="n">
        <v>111</v>
      </c>
      <c r="D114" s="1" t="n">
        <v>10</v>
      </c>
      <c r="E114" s="1" t="n">
        <v>13</v>
      </c>
      <c r="F114" s="8" t="n">
        <f aca="false">F112-F113</f>
        <v>0.054067221</v>
      </c>
      <c r="G114" s="8" t="n">
        <f aca="false">SQRT(G112^2+G113^2)</f>
        <v>0.349512646875907</v>
      </c>
      <c r="H114" s="8"/>
      <c r="J114" s="14"/>
    </row>
    <row r="115" customFormat="false" ht="15" hidden="false" customHeight="false" outlineLevel="0" collapsed="false">
      <c r="A115" s="1" t="n">
        <v>1974</v>
      </c>
      <c r="B115" s="1" t="s">
        <v>137</v>
      </c>
      <c r="C115" s="1" t="n">
        <v>112</v>
      </c>
      <c r="D115" s="18" t="n">
        <v>4</v>
      </c>
      <c r="E115" s="18" t="n">
        <v>18</v>
      </c>
      <c r="F115" s="17" t="n">
        <f aca="false">LN(0.5208)</f>
        <v>-0.652389188087778</v>
      </c>
      <c r="G115" s="8" t="n">
        <v>0.194358</v>
      </c>
      <c r="H115" s="8"/>
      <c r="J115" s="14"/>
    </row>
    <row r="116" customFormat="false" ht="15" hidden="false" customHeight="false" outlineLevel="0" collapsed="false">
      <c r="A116" s="1" t="n">
        <v>1984</v>
      </c>
      <c r="B116" s="1" t="s">
        <v>138</v>
      </c>
      <c r="C116" s="1" t="n">
        <v>113</v>
      </c>
      <c r="D116" s="1" t="n">
        <v>2</v>
      </c>
      <c r="E116" s="1" t="n">
        <v>17</v>
      </c>
      <c r="F116" s="19" t="n">
        <f aca="false">LN(0.7474)</f>
        <v>-0.291154761930754</v>
      </c>
      <c r="G116" s="20" t="n">
        <v>0.1094306</v>
      </c>
      <c r="H116" s="8"/>
      <c r="J116" s="14"/>
    </row>
    <row r="117" customFormat="false" ht="15" hidden="false" customHeight="false" outlineLevel="0" collapsed="false">
      <c r="A117" s="1" t="n">
        <v>1993</v>
      </c>
      <c r="B117" s="1" t="s">
        <v>139</v>
      </c>
      <c r="C117" s="1" t="n">
        <v>114</v>
      </c>
      <c r="D117" s="1" t="n">
        <v>3</v>
      </c>
      <c r="E117" s="1" t="n">
        <v>4</v>
      </c>
      <c r="F117" s="8" t="n">
        <v>-0.286652736</v>
      </c>
      <c r="G117" s="8" t="n">
        <v>0.269679944985297</v>
      </c>
      <c r="H117" s="8"/>
      <c r="J117" s="14"/>
    </row>
    <row r="118" customFormat="false" ht="15" hidden="false" customHeight="false" outlineLevel="0" collapsed="false">
      <c r="A118" s="1" t="n">
        <v>1993</v>
      </c>
      <c r="B118" s="1" t="s">
        <v>139</v>
      </c>
      <c r="C118" s="1" t="n">
        <v>114</v>
      </c>
      <c r="D118" s="1" t="n">
        <v>4</v>
      </c>
      <c r="E118" s="1" t="n">
        <v>11</v>
      </c>
      <c r="F118" s="8" t="n">
        <v>0.021710486</v>
      </c>
      <c r="G118" s="8" t="n">
        <v>0.260715078409045</v>
      </c>
      <c r="H118" s="8"/>
    </row>
    <row r="119" customFormat="false" ht="15" hidden="false" customHeight="false" outlineLevel="0" collapsed="false">
      <c r="A119" s="1" t="n">
        <v>1993</v>
      </c>
      <c r="B119" s="1" t="s">
        <v>139</v>
      </c>
      <c r="C119" s="1" t="n">
        <v>114</v>
      </c>
      <c r="D119" s="1" t="n">
        <v>3</v>
      </c>
      <c r="E119" s="1" t="n">
        <v>11</v>
      </c>
      <c r="F119" s="8" t="n">
        <f aca="false">F118+F117</f>
        <v>-0.26494225</v>
      </c>
      <c r="G119" s="8" t="n">
        <f aca="false">SQRT(G118^2+G117^2)</f>
        <v>0.375099486586035</v>
      </c>
      <c r="H119" s="8"/>
      <c r="J119" s="14"/>
    </row>
    <row r="120" customFormat="false" ht="15" hidden="false" customHeight="false" outlineLevel="0" collapsed="false">
      <c r="A120" s="1" t="s">
        <v>140</v>
      </c>
      <c r="B120" s="1" t="s">
        <v>131</v>
      </c>
      <c r="C120" s="1" t="n">
        <v>115</v>
      </c>
      <c r="D120" s="18" t="n">
        <v>1</v>
      </c>
      <c r="E120" s="8" t="n">
        <v>2</v>
      </c>
      <c r="F120" s="17" t="n">
        <f aca="false">LN(1.1508)</f>
        <v>0.140457352695256</v>
      </c>
      <c r="G120" s="8" t="n">
        <v>0.124939</v>
      </c>
      <c r="H120" s="8"/>
      <c r="J120" s="14"/>
    </row>
    <row r="121" customFormat="false" ht="15" hidden="false" customHeight="false" outlineLevel="0" collapsed="false">
      <c r="A121" s="1" t="n">
        <v>1982</v>
      </c>
      <c r="B121" s="1" t="s">
        <v>138</v>
      </c>
      <c r="C121" s="1" t="n">
        <v>116</v>
      </c>
      <c r="D121" s="1" t="n">
        <v>2</v>
      </c>
      <c r="E121" s="1" t="n">
        <v>17</v>
      </c>
      <c r="F121" s="17" t="n">
        <f aca="false">LN(1.1275)</f>
        <v>0.120002792394696</v>
      </c>
      <c r="G121" s="8" t="n">
        <v>0.09899495</v>
      </c>
      <c r="H121" s="8"/>
    </row>
    <row r="122" customFormat="false" ht="15" hidden="false" customHeight="false" outlineLevel="0" collapsed="false">
      <c r="A122" s="1" t="n">
        <v>1987</v>
      </c>
      <c r="B122" s="1" t="s">
        <v>141</v>
      </c>
      <c r="C122" s="1" t="n">
        <v>117</v>
      </c>
      <c r="D122" s="1" t="n">
        <v>1</v>
      </c>
      <c r="E122" s="1" t="n">
        <v>17</v>
      </c>
      <c r="F122" s="17" t="n">
        <f aca="false">LN(1.3462)</f>
        <v>0.297285808594476</v>
      </c>
      <c r="G122" s="8" t="n">
        <v>0.1377499</v>
      </c>
      <c r="H122" s="8"/>
    </row>
    <row r="123" customFormat="false" ht="15" hidden="false" customHeight="false" outlineLevel="0" collapsed="false">
      <c r="A123" s="1" t="n">
        <v>2003</v>
      </c>
      <c r="B123" s="1" t="s">
        <v>142</v>
      </c>
      <c r="C123" s="1" t="n">
        <v>118</v>
      </c>
      <c r="D123" s="1" t="n">
        <v>2</v>
      </c>
      <c r="E123" s="1" t="n">
        <v>8</v>
      </c>
      <c r="F123" s="17" t="n">
        <f aca="false">LN(1.0289)</f>
        <v>0.0284902703996274</v>
      </c>
      <c r="G123" s="8" t="n">
        <v>0.3038093</v>
      </c>
      <c r="H123" s="8"/>
      <c r="J123" s="14"/>
    </row>
    <row r="124" customFormat="false" ht="15" hidden="false" customHeight="false" outlineLevel="0" collapsed="false">
      <c r="A124" s="1" t="n">
        <v>2003</v>
      </c>
      <c r="B124" s="1" t="s">
        <v>143</v>
      </c>
      <c r="C124" s="1" t="n">
        <v>119</v>
      </c>
      <c r="D124" s="1" t="n">
        <v>2</v>
      </c>
      <c r="E124" s="1" t="n">
        <v>10</v>
      </c>
      <c r="F124" s="17" t="n">
        <f aca="false">LN(0.7335)</f>
        <v>-0.309927681399101</v>
      </c>
      <c r="G124" s="8" t="n">
        <v>0.1872833</v>
      </c>
      <c r="H124" s="8"/>
      <c r="J124" s="14"/>
    </row>
    <row r="125" customFormat="false" ht="15" hidden="false" customHeight="false" outlineLevel="0" collapsed="false">
      <c r="A125" s="1" t="n">
        <v>1999</v>
      </c>
      <c r="B125" s="1" t="s">
        <v>22</v>
      </c>
      <c r="C125" s="1" t="n">
        <v>120</v>
      </c>
      <c r="D125" s="1" t="n">
        <v>1</v>
      </c>
      <c r="E125" s="1" t="n">
        <v>17</v>
      </c>
      <c r="F125" s="17" t="n">
        <f aca="false">LN(1.1042)</f>
        <v>0.0991210908678073</v>
      </c>
      <c r="G125" s="8" t="n">
        <v>0.1448276</v>
      </c>
      <c r="H125" s="8"/>
      <c r="J125" s="14"/>
    </row>
    <row r="126" customFormat="false" ht="15" hidden="false" customHeight="false" outlineLevel="0" collapsed="false">
      <c r="A126" s="1" t="n">
        <v>2003</v>
      </c>
      <c r="B126" s="1" t="s">
        <v>144</v>
      </c>
      <c r="C126" s="1" t="n">
        <v>121</v>
      </c>
      <c r="D126" s="1" t="n">
        <v>8</v>
      </c>
      <c r="E126" s="1" t="n">
        <v>20</v>
      </c>
      <c r="F126" s="8" t="n">
        <v>0.069117497</v>
      </c>
      <c r="G126" s="8" t="n">
        <v>0.100125472254851</v>
      </c>
      <c r="H126" s="8"/>
      <c r="J126" s="14"/>
    </row>
    <row r="127" customFormat="false" ht="15" hidden="false" customHeight="false" outlineLevel="0" collapsed="false">
      <c r="A127" s="1" t="n">
        <v>2003</v>
      </c>
      <c r="B127" s="1" t="s">
        <v>144</v>
      </c>
      <c r="C127" s="1" t="n">
        <v>121</v>
      </c>
      <c r="D127" s="1" t="n">
        <v>4</v>
      </c>
      <c r="E127" s="1" t="n">
        <v>20</v>
      </c>
      <c r="F127" s="8" t="n">
        <v>0.053179562</v>
      </c>
      <c r="G127" s="8" t="n">
        <v>0.101410202920296</v>
      </c>
      <c r="H127" s="8"/>
    </row>
    <row r="128" customFormat="false" ht="15" hidden="false" customHeight="false" outlineLevel="0" collapsed="false">
      <c r="A128" s="1" t="n">
        <v>2003</v>
      </c>
      <c r="B128" s="1" t="s">
        <v>144</v>
      </c>
      <c r="C128" s="1" t="n">
        <v>121</v>
      </c>
      <c r="D128" s="1" t="n">
        <v>4</v>
      </c>
      <c r="E128" s="1" t="n">
        <v>8</v>
      </c>
      <c r="F128" s="8" t="n">
        <f aca="false">F127-F126</f>
        <v>-0.015937935</v>
      </c>
      <c r="G128" s="8" t="n">
        <f aca="false">SQRT(G126^2+G127^2)</f>
        <v>0.142510138062498</v>
      </c>
      <c r="H128" s="8"/>
      <c r="J128" s="14"/>
    </row>
    <row r="129" customFormat="false" ht="15" hidden="false" customHeight="false" outlineLevel="0" collapsed="false">
      <c r="A129" s="1" t="n">
        <v>1991</v>
      </c>
      <c r="B129" s="1" t="s">
        <v>103</v>
      </c>
      <c r="C129" s="1" t="n">
        <v>122</v>
      </c>
      <c r="D129" s="1" t="n">
        <v>1</v>
      </c>
      <c r="E129" s="1" t="n">
        <v>2</v>
      </c>
      <c r="F129" s="8" t="n">
        <v>0.14442613</v>
      </c>
      <c r="G129" s="8" t="n">
        <v>0.0767899940926736</v>
      </c>
      <c r="H129" s="8"/>
    </row>
    <row r="130" customFormat="false" ht="15" hidden="false" customHeight="false" outlineLevel="0" collapsed="false">
      <c r="A130" s="1" t="n">
        <v>1991</v>
      </c>
      <c r="B130" s="1" t="s">
        <v>103</v>
      </c>
      <c r="C130" s="1" t="n">
        <v>122</v>
      </c>
      <c r="D130" s="1" t="n">
        <v>1</v>
      </c>
      <c r="E130" s="1" t="n">
        <v>3</v>
      </c>
      <c r="F130" s="8" t="n">
        <v>-0.05299253</v>
      </c>
      <c r="G130" s="8" t="n">
        <v>0.0767899940926736</v>
      </c>
      <c r="H130" s="8"/>
    </row>
    <row r="131" customFormat="false" ht="15" hidden="false" customHeight="false" outlineLevel="0" collapsed="false">
      <c r="A131" s="1" t="n">
        <v>1991</v>
      </c>
      <c r="B131" s="1" t="s">
        <v>103</v>
      </c>
      <c r="C131" s="1" t="n">
        <v>122</v>
      </c>
      <c r="D131" s="1" t="n">
        <v>2</v>
      </c>
      <c r="E131" s="1" t="n">
        <v>3</v>
      </c>
      <c r="F131" s="8" t="n">
        <f aca="false">F130-F129</f>
        <v>-0.19741866</v>
      </c>
      <c r="G131" s="8" t="n">
        <f aca="false">SQRT(G129^2+G130^2)</f>
        <v>0.108597451100409</v>
      </c>
      <c r="H131" s="8"/>
      <c r="J131" s="14"/>
    </row>
    <row r="132" customFormat="false" ht="15" hidden="false" customHeight="false" outlineLevel="0" collapsed="false">
      <c r="A132" s="1" t="s">
        <v>129</v>
      </c>
      <c r="B132" s="1" t="s">
        <v>130</v>
      </c>
      <c r="C132" s="1" t="n">
        <v>123</v>
      </c>
      <c r="D132" s="1" t="n">
        <v>1</v>
      </c>
      <c r="E132" s="1" t="n">
        <v>17</v>
      </c>
      <c r="F132" s="17" t="n">
        <f aca="false">LN(0.7592)</f>
        <v>-0.275490031686419</v>
      </c>
      <c r="G132" s="8" t="n">
        <v>0.147988</v>
      </c>
      <c r="H132" s="8"/>
    </row>
    <row r="133" customFormat="false" ht="15" hidden="false" customHeight="false" outlineLevel="0" collapsed="false">
      <c r="A133" s="1" t="s">
        <v>145</v>
      </c>
      <c r="B133" s="1" t="s">
        <v>131</v>
      </c>
      <c r="C133" s="1" t="n">
        <v>124</v>
      </c>
      <c r="D133" s="1" t="n">
        <v>17</v>
      </c>
      <c r="E133" s="1" t="n">
        <v>18</v>
      </c>
      <c r="F133" s="17" t="n">
        <f aca="false">LN(0.6626)</f>
        <v>-0.411583789116342</v>
      </c>
      <c r="G133" s="8" t="n">
        <v>0.1834402</v>
      </c>
      <c r="H133" s="8"/>
    </row>
    <row r="134" customFormat="false" ht="15" hidden="false" customHeight="false" outlineLevel="0" collapsed="false">
      <c r="A134" s="1" t="s">
        <v>146</v>
      </c>
      <c r="B134" s="1" t="s">
        <v>130</v>
      </c>
      <c r="C134" s="1" t="n">
        <v>125</v>
      </c>
      <c r="D134" s="1" t="n">
        <v>1</v>
      </c>
      <c r="E134" s="1" t="n">
        <v>17</v>
      </c>
      <c r="F134" s="17" t="n">
        <f aca="false">LN(1.2214)</f>
        <v>0.199997741806897</v>
      </c>
      <c r="G134" s="8" t="n">
        <v>0.1838478</v>
      </c>
      <c r="H134" s="8"/>
    </row>
    <row r="135" customFormat="false" ht="15" hidden="false" customHeight="false" outlineLevel="0" collapsed="false">
      <c r="A135" s="1" t="n">
        <v>2002</v>
      </c>
      <c r="B135" s="1" t="s">
        <v>147</v>
      </c>
      <c r="C135" s="1" t="n">
        <v>126</v>
      </c>
      <c r="D135" s="1" t="n">
        <v>2</v>
      </c>
      <c r="E135" s="1" t="n">
        <v>4</v>
      </c>
      <c r="F135" s="17" t="n">
        <f aca="false">LN(0.8156)</f>
        <v>-0.203831240281837</v>
      </c>
      <c r="G135" s="8" t="n">
        <v>0.1115238</v>
      </c>
      <c r="H135" s="8"/>
    </row>
    <row r="136" customFormat="false" ht="15" hidden="false" customHeight="false" outlineLevel="0" collapsed="false">
      <c r="A136" s="1" t="n">
        <v>1982</v>
      </c>
      <c r="B136" s="1" t="s">
        <v>14</v>
      </c>
      <c r="C136" s="1" t="n">
        <v>127</v>
      </c>
      <c r="D136" s="1" t="n">
        <v>1</v>
      </c>
      <c r="E136" s="1" t="n">
        <v>17</v>
      </c>
      <c r="F136" s="17" t="n">
        <f aca="false">LN(0.8521)</f>
        <v>-0.160051388148227</v>
      </c>
      <c r="G136" s="8" t="n">
        <v>0.1849539</v>
      </c>
      <c r="H136" s="8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T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Q4" activeCellId="0" sqref="AQ4"/>
    </sheetView>
  </sheetViews>
  <sheetFormatPr defaultRowHeight="15" zeroHeight="false" outlineLevelRow="0" outlineLevelCol="0"/>
  <cols>
    <col collapsed="false" customWidth="true" hidden="false" outlineLevel="0" max="1025" min="1" style="0" width="8.86"/>
  </cols>
  <sheetData>
    <row r="1" customFormat="false" ht="15" hidden="false" customHeight="false" outlineLevel="0" collapsed="false">
      <c r="A1" s="0" t="s">
        <v>148</v>
      </c>
      <c r="B1" s="0" t="s">
        <v>149</v>
      </c>
      <c r="C1" s="0" t="s">
        <v>150</v>
      </c>
      <c r="D1" s="0" t="s">
        <v>151</v>
      </c>
      <c r="E1" s="0" t="s">
        <v>152</v>
      </c>
      <c r="F1" s="0" t="s">
        <v>153</v>
      </c>
      <c r="G1" s="0" t="s">
        <v>154</v>
      </c>
      <c r="H1" s="0" t="s">
        <v>155</v>
      </c>
      <c r="I1" s="0" t="s">
        <v>155</v>
      </c>
      <c r="J1" s="0" t="s">
        <v>155</v>
      </c>
      <c r="K1" s="0" t="s">
        <v>155</v>
      </c>
      <c r="L1" s="0" t="s">
        <v>155</v>
      </c>
      <c r="M1" s="0" t="s">
        <v>156</v>
      </c>
      <c r="N1" s="0" t="s">
        <v>157</v>
      </c>
      <c r="O1" s="0" t="s">
        <v>154</v>
      </c>
      <c r="P1" s="0" t="s">
        <v>154</v>
      </c>
      <c r="Q1" s="0" t="s">
        <v>151</v>
      </c>
      <c r="R1" s="0" t="s">
        <v>151</v>
      </c>
      <c r="S1" s="0" t="s">
        <v>151</v>
      </c>
      <c r="T1" s="0" t="s">
        <v>155</v>
      </c>
      <c r="U1" s="0" t="s">
        <v>157</v>
      </c>
      <c r="V1" s="0" t="s">
        <v>151</v>
      </c>
      <c r="W1" s="0" t="s">
        <v>158</v>
      </c>
      <c r="X1" s="0" t="s">
        <v>155</v>
      </c>
      <c r="Y1" s="0" t="s">
        <v>152</v>
      </c>
      <c r="Z1" s="0" t="s">
        <v>155</v>
      </c>
      <c r="AA1" s="0" t="s">
        <v>152</v>
      </c>
      <c r="AB1" s="0" t="s">
        <v>152</v>
      </c>
      <c r="AC1" s="0" t="s">
        <v>151</v>
      </c>
      <c r="AD1" s="0" t="s">
        <v>155</v>
      </c>
      <c r="AE1" s="0" t="s">
        <v>154</v>
      </c>
      <c r="AF1" s="0" t="s">
        <v>151</v>
      </c>
      <c r="AG1" s="0" t="s">
        <v>151</v>
      </c>
      <c r="AH1" s="0" t="s">
        <v>151</v>
      </c>
      <c r="AI1" s="0" t="s">
        <v>155</v>
      </c>
      <c r="AJ1" s="0" t="s">
        <v>151</v>
      </c>
      <c r="AK1" s="0" t="s">
        <v>151</v>
      </c>
      <c r="AL1" s="0" t="s">
        <v>157</v>
      </c>
      <c r="AM1" s="0" t="s">
        <v>155</v>
      </c>
      <c r="AN1" s="0" t="s">
        <v>155</v>
      </c>
      <c r="AO1" s="0" t="s">
        <v>151</v>
      </c>
      <c r="AP1" s="0" t="s">
        <v>150</v>
      </c>
      <c r="AQ1" s="0" t="s">
        <v>159</v>
      </c>
      <c r="AR1" s="0" t="s">
        <v>151</v>
      </c>
      <c r="AS1" s="0" t="s">
        <v>151</v>
      </c>
      <c r="AT1" s="0" t="s">
        <v>154</v>
      </c>
      <c r="AU1" s="0" t="s">
        <v>155</v>
      </c>
      <c r="AV1" s="0" t="s">
        <v>152</v>
      </c>
      <c r="AW1" s="0" t="s">
        <v>160</v>
      </c>
      <c r="AX1" s="0" t="s">
        <v>151</v>
      </c>
      <c r="AY1" s="0" t="s">
        <v>155</v>
      </c>
      <c r="AZ1" s="0" t="s">
        <v>154</v>
      </c>
      <c r="BA1" s="0" t="s">
        <v>159</v>
      </c>
      <c r="BB1" s="0" t="s">
        <v>151</v>
      </c>
      <c r="BC1" s="0" t="s">
        <v>155</v>
      </c>
      <c r="BD1" s="0" t="s">
        <v>155</v>
      </c>
      <c r="BE1" s="0" t="s">
        <v>151</v>
      </c>
      <c r="BF1" s="0" t="s">
        <v>151</v>
      </c>
      <c r="BG1" s="0" t="s">
        <v>151</v>
      </c>
      <c r="BH1" s="0" t="s">
        <v>155</v>
      </c>
      <c r="BI1" s="0" t="s">
        <v>155</v>
      </c>
      <c r="BJ1" s="0" t="s">
        <v>152</v>
      </c>
      <c r="BK1" s="0" t="s">
        <v>155</v>
      </c>
      <c r="BL1" s="0" t="s">
        <v>159</v>
      </c>
      <c r="BM1" s="0" t="s">
        <v>151</v>
      </c>
      <c r="BN1" s="0" t="s">
        <v>155</v>
      </c>
      <c r="BO1" s="0" t="s">
        <v>155</v>
      </c>
      <c r="BP1" s="0" t="s">
        <v>155</v>
      </c>
      <c r="BQ1" s="0" t="s">
        <v>159</v>
      </c>
      <c r="BR1" s="0" t="s">
        <v>151</v>
      </c>
      <c r="BS1" s="0" t="s">
        <v>151</v>
      </c>
      <c r="BT1" s="0" t="s">
        <v>155</v>
      </c>
      <c r="BU1" s="0" t="s">
        <v>155</v>
      </c>
      <c r="BV1" s="0" t="s">
        <v>151</v>
      </c>
      <c r="BW1" s="0" t="s">
        <v>159</v>
      </c>
      <c r="BX1" s="0" t="s">
        <v>159</v>
      </c>
      <c r="BY1" s="0" t="s">
        <v>151</v>
      </c>
      <c r="BZ1" s="0" t="s">
        <v>155</v>
      </c>
      <c r="CA1" s="0" t="s">
        <v>151</v>
      </c>
      <c r="CB1" s="0" t="s">
        <v>151</v>
      </c>
      <c r="CC1" s="0" t="s">
        <v>152</v>
      </c>
      <c r="CD1" s="0" t="s">
        <v>154</v>
      </c>
      <c r="CE1" s="0" t="s">
        <v>155</v>
      </c>
      <c r="CF1" s="0" t="s">
        <v>152</v>
      </c>
      <c r="CG1" s="0" t="s">
        <v>155</v>
      </c>
      <c r="CH1" s="0" t="s">
        <v>157</v>
      </c>
      <c r="CI1" s="0" t="s">
        <v>161</v>
      </c>
      <c r="CJ1" s="0" t="s">
        <v>155</v>
      </c>
      <c r="CK1" s="0" t="s">
        <v>155</v>
      </c>
      <c r="CL1" s="0" t="s">
        <v>152</v>
      </c>
      <c r="CM1" s="0" t="s">
        <v>162</v>
      </c>
      <c r="CN1" s="0" t="s">
        <v>155</v>
      </c>
      <c r="CO1" s="0" t="s">
        <v>155</v>
      </c>
      <c r="CP1" s="0" t="s">
        <v>160</v>
      </c>
      <c r="CQ1" s="0" t="s">
        <v>157</v>
      </c>
      <c r="CR1" s="0" t="s">
        <v>158</v>
      </c>
      <c r="CS1" s="0" t="s">
        <v>151</v>
      </c>
      <c r="CT1" s="0" t="s">
        <v>157</v>
      </c>
      <c r="CU1" s="0" t="s">
        <v>158</v>
      </c>
      <c r="CV1" s="0" t="s">
        <v>162</v>
      </c>
      <c r="CW1" s="0" t="s">
        <v>155</v>
      </c>
      <c r="CX1" s="0" t="s">
        <v>154</v>
      </c>
      <c r="CY1" s="0" t="s">
        <v>155</v>
      </c>
      <c r="CZ1" s="0" t="s">
        <v>151</v>
      </c>
      <c r="DA1" s="0" t="s">
        <v>154</v>
      </c>
      <c r="DB1" s="0" t="s">
        <v>162</v>
      </c>
      <c r="DC1" s="0" t="s">
        <v>151</v>
      </c>
      <c r="DD1" s="0" t="s">
        <v>151</v>
      </c>
      <c r="DE1" s="0" t="s">
        <v>155</v>
      </c>
      <c r="DF1" s="0" t="s">
        <v>154</v>
      </c>
      <c r="DG1" s="0" t="s">
        <v>154</v>
      </c>
      <c r="DH1" s="0" t="s">
        <v>159</v>
      </c>
      <c r="DI1" s="0" t="s">
        <v>151</v>
      </c>
      <c r="DJ1" s="0" t="s">
        <v>151</v>
      </c>
      <c r="DK1" s="0" t="s">
        <v>150</v>
      </c>
      <c r="DL1" s="0" t="s">
        <v>157</v>
      </c>
      <c r="DM1" s="0" t="s">
        <v>152</v>
      </c>
      <c r="DN1" s="0" t="s">
        <v>152</v>
      </c>
      <c r="DO1" s="0" t="s">
        <v>155</v>
      </c>
      <c r="DP1" s="0" t="s">
        <v>155</v>
      </c>
      <c r="DQ1" s="0" t="s">
        <v>159</v>
      </c>
      <c r="DR1" s="0" t="s">
        <v>152</v>
      </c>
      <c r="DS1" s="0" t="s">
        <v>151</v>
      </c>
      <c r="DT1" s="0" t="s">
        <v>151</v>
      </c>
      <c r="DU1" s="0" t="s">
        <v>155</v>
      </c>
      <c r="DV1" s="0" t="s">
        <v>155</v>
      </c>
      <c r="DW1" s="0" t="s">
        <v>151</v>
      </c>
      <c r="DX1" s="0" t="s">
        <v>151</v>
      </c>
      <c r="DY1" s="0" t="s">
        <v>155</v>
      </c>
      <c r="DZ1" s="0" t="s">
        <v>155</v>
      </c>
      <c r="EA1" s="0" t="s">
        <v>155</v>
      </c>
      <c r="EB1" s="0" t="s">
        <v>155</v>
      </c>
      <c r="EC1" s="0" t="s">
        <v>151</v>
      </c>
      <c r="ED1" s="0" t="s">
        <v>151</v>
      </c>
      <c r="EE1" s="0" t="s">
        <v>161</v>
      </c>
      <c r="EF1" s="0" t="s">
        <v>152</v>
      </c>
      <c r="EG1" s="0" t="s">
        <v>151</v>
      </c>
      <c r="EH1" s="0" t="s">
        <v>151</v>
      </c>
      <c r="EI1" s="0" t="s">
        <v>151</v>
      </c>
      <c r="EJ1" s="0" t="s">
        <v>151</v>
      </c>
      <c r="EK1" s="0" t="s">
        <v>154</v>
      </c>
      <c r="EL1" s="0" t="s">
        <v>154</v>
      </c>
      <c r="EM1" s="0" t="s">
        <v>151</v>
      </c>
      <c r="EN1" s="0" t="s">
        <v>151</v>
      </c>
      <c r="EO1" s="0" t="s">
        <v>155</v>
      </c>
      <c r="EP1" s="0" t="s">
        <v>155</v>
      </c>
      <c r="EQ1" s="0" t="s">
        <v>155</v>
      </c>
      <c r="ER1" s="0" t="s">
        <v>151</v>
      </c>
      <c r="ES1" s="0" t="s">
        <v>151</v>
      </c>
      <c r="ET1" s="0" t="s">
        <v>163</v>
      </c>
    </row>
    <row r="3" customFormat="false" ht="15" hidden="false" customHeight="false" outlineLevel="0" collapsed="false">
      <c r="A3" s="0" t="s">
        <v>164</v>
      </c>
      <c r="B3" s="0" t="s">
        <v>149</v>
      </c>
      <c r="C3" s="0" t="s">
        <v>154</v>
      </c>
      <c r="D3" s="0" t="s">
        <v>160</v>
      </c>
      <c r="E3" s="0" t="s">
        <v>154</v>
      </c>
      <c r="F3" s="0" t="s">
        <v>162</v>
      </c>
      <c r="G3" s="0" t="s">
        <v>153</v>
      </c>
      <c r="H3" s="0" t="s">
        <v>152</v>
      </c>
      <c r="I3" s="0" t="s">
        <v>154</v>
      </c>
      <c r="J3" s="0" t="s">
        <v>154</v>
      </c>
      <c r="K3" s="0" t="s">
        <v>154</v>
      </c>
      <c r="L3" s="0" t="s">
        <v>150</v>
      </c>
      <c r="M3" s="0" t="s">
        <v>154</v>
      </c>
      <c r="N3" s="0" t="s">
        <v>162</v>
      </c>
      <c r="O3" s="0" t="s">
        <v>162</v>
      </c>
      <c r="P3" s="0" t="s">
        <v>162</v>
      </c>
      <c r="Q3" s="0" t="s">
        <v>153</v>
      </c>
      <c r="R3" s="0" t="s">
        <v>155</v>
      </c>
      <c r="S3" s="0" t="s">
        <v>155</v>
      </c>
      <c r="T3" s="0" t="s">
        <v>150</v>
      </c>
      <c r="U3" s="0" t="s">
        <v>154</v>
      </c>
      <c r="V3" s="0" t="s">
        <v>165</v>
      </c>
      <c r="W3" s="0" t="s">
        <v>162</v>
      </c>
      <c r="X3" s="0" t="s">
        <v>152</v>
      </c>
      <c r="Y3" s="0" t="s">
        <v>162</v>
      </c>
      <c r="Z3" s="0" t="s">
        <v>154</v>
      </c>
      <c r="AA3" s="0" t="s">
        <v>165</v>
      </c>
      <c r="AB3" s="0" t="s">
        <v>165</v>
      </c>
      <c r="AC3" s="0" t="s">
        <v>155</v>
      </c>
      <c r="AD3" s="0" t="s">
        <v>161</v>
      </c>
      <c r="AE3" s="0" t="s">
        <v>153</v>
      </c>
      <c r="AF3" s="0" t="s">
        <v>155</v>
      </c>
      <c r="AG3" s="0" t="s">
        <v>159</v>
      </c>
      <c r="AH3" s="0" t="s">
        <v>153</v>
      </c>
      <c r="AI3" s="0" t="s">
        <v>150</v>
      </c>
      <c r="AJ3" s="0" t="s">
        <v>154</v>
      </c>
      <c r="AK3" s="0" t="s">
        <v>155</v>
      </c>
      <c r="AL3" s="0" t="s">
        <v>153</v>
      </c>
      <c r="AM3" s="0" t="s">
        <v>150</v>
      </c>
      <c r="AN3" s="0" t="s">
        <v>152</v>
      </c>
      <c r="AO3" s="0" t="s">
        <v>154</v>
      </c>
      <c r="AP3" s="0" t="s">
        <v>154</v>
      </c>
      <c r="AQ3" s="0" t="s">
        <v>152</v>
      </c>
      <c r="AR3" s="0" t="s">
        <v>154</v>
      </c>
      <c r="AS3" s="0" t="s">
        <v>153</v>
      </c>
      <c r="AT3" s="0" t="s">
        <v>162</v>
      </c>
      <c r="AU3" s="0" t="s">
        <v>150</v>
      </c>
      <c r="AV3" s="0" t="s">
        <v>162</v>
      </c>
      <c r="AW3" s="0" t="s">
        <v>162</v>
      </c>
      <c r="AX3" s="0" t="s">
        <v>155</v>
      </c>
      <c r="AY3" s="0" t="s">
        <v>159</v>
      </c>
      <c r="AZ3" s="0" t="s">
        <v>153</v>
      </c>
      <c r="BA3" s="0" t="s">
        <v>152</v>
      </c>
      <c r="BB3" s="0" t="s">
        <v>159</v>
      </c>
      <c r="BC3" s="0" t="s">
        <v>154</v>
      </c>
      <c r="BD3" s="0" t="s">
        <v>154</v>
      </c>
      <c r="BE3" s="0" t="s">
        <v>155</v>
      </c>
      <c r="BF3" s="0" t="s">
        <v>154</v>
      </c>
      <c r="BG3" s="0" t="s">
        <v>150</v>
      </c>
      <c r="BH3" s="0" t="s">
        <v>161</v>
      </c>
      <c r="BI3" s="0" t="s">
        <v>166</v>
      </c>
      <c r="BJ3" s="0" t="s">
        <v>167</v>
      </c>
      <c r="BK3" s="0" t="s">
        <v>154</v>
      </c>
      <c r="BL3" s="0" t="s">
        <v>165</v>
      </c>
      <c r="BM3" s="0" t="s">
        <v>159</v>
      </c>
      <c r="BN3" s="0" t="s">
        <v>150</v>
      </c>
      <c r="BO3" s="0" t="s">
        <v>152</v>
      </c>
      <c r="BP3" s="0" t="s">
        <v>153</v>
      </c>
      <c r="BQ3" s="0" t="s">
        <v>152</v>
      </c>
      <c r="BR3" s="0" t="s">
        <v>154</v>
      </c>
      <c r="BS3" s="0" t="s">
        <v>155</v>
      </c>
      <c r="BT3" s="0" t="s">
        <v>161</v>
      </c>
      <c r="BU3" s="0" t="s">
        <v>167</v>
      </c>
      <c r="BV3" s="0" t="s">
        <v>155</v>
      </c>
      <c r="BW3" s="0" t="s">
        <v>154</v>
      </c>
      <c r="BX3" s="0" t="s">
        <v>152</v>
      </c>
      <c r="BY3" s="0" t="s">
        <v>150</v>
      </c>
      <c r="BZ3" s="0" t="s">
        <v>152</v>
      </c>
      <c r="CA3" s="0" t="s">
        <v>155</v>
      </c>
      <c r="CB3" s="0" t="s">
        <v>155</v>
      </c>
      <c r="CC3" s="0" t="s">
        <v>167</v>
      </c>
      <c r="CD3" s="0" t="s">
        <v>162</v>
      </c>
      <c r="CE3" s="0" t="s">
        <v>161</v>
      </c>
      <c r="CF3" s="0" t="s">
        <v>157</v>
      </c>
      <c r="CG3" s="0" t="s">
        <v>168</v>
      </c>
      <c r="CH3" s="0" t="s">
        <v>169</v>
      </c>
      <c r="CI3" s="0" t="s">
        <v>170</v>
      </c>
      <c r="CJ3" s="0" t="s">
        <v>161</v>
      </c>
      <c r="CK3" s="0" t="s">
        <v>150</v>
      </c>
      <c r="CL3" s="0" t="s">
        <v>157</v>
      </c>
      <c r="CM3" s="0" t="s">
        <v>171</v>
      </c>
      <c r="CN3" s="0" t="s">
        <v>161</v>
      </c>
      <c r="CO3" s="0" t="s">
        <v>161</v>
      </c>
      <c r="CP3" s="0" t="s">
        <v>157</v>
      </c>
      <c r="CQ3" s="0" t="s">
        <v>172</v>
      </c>
      <c r="CR3" s="0" t="s">
        <v>162</v>
      </c>
      <c r="CS3" s="0" t="s">
        <v>155</v>
      </c>
      <c r="CT3" s="0" t="s">
        <v>154</v>
      </c>
      <c r="CU3" s="0" t="s">
        <v>162</v>
      </c>
      <c r="CV3" s="0" t="s">
        <v>173</v>
      </c>
      <c r="CW3" s="0" t="s">
        <v>154</v>
      </c>
      <c r="CX3" s="0" t="s">
        <v>153</v>
      </c>
      <c r="CY3" s="0" t="s">
        <v>154</v>
      </c>
      <c r="CZ3" s="0" t="s">
        <v>152</v>
      </c>
      <c r="DA3" s="0" t="s">
        <v>153</v>
      </c>
      <c r="DB3" s="0" t="s">
        <v>171</v>
      </c>
      <c r="DC3" s="0" t="s">
        <v>155</v>
      </c>
      <c r="DD3" s="0" t="s">
        <v>154</v>
      </c>
      <c r="DE3" s="0" t="s">
        <v>154</v>
      </c>
      <c r="DF3" s="0" t="s">
        <v>153</v>
      </c>
      <c r="DG3" s="0" t="s">
        <v>153</v>
      </c>
      <c r="DH3" s="0" t="s">
        <v>154</v>
      </c>
      <c r="DI3" s="0" t="s">
        <v>154</v>
      </c>
      <c r="DJ3" s="0" t="s">
        <v>154</v>
      </c>
      <c r="DK3" s="0" t="s">
        <v>154</v>
      </c>
      <c r="DL3" s="0" t="s">
        <v>154</v>
      </c>
      <c r="DM3" s="0" t="s">
        <v>153</v>
      </c>
      <c r="DN3" s="0" t="s">
        <v>153</v>
      </c>
      <c r="DO3" s="0" t="s">
        <v>154</v>
      </c>
      <c r="DP3" s="0" t="s">
        <v>154</v>
      </c>
      <c r="DQ3" s="0" t="s">
        <v>152</v>
      </c>
      <c r="DR3" s="0" t="s">
        <v>165</v>
      </c>
      <c r="DS3" s="0" t="s">
        <v>155</v>
      </c>
      <c r="DT3" s="0" t="s">
        <v>155</v>
      </c>
      <c r="DU3" s="0" t="s">
        <v>154</v>
      </c>
      <c r="DV3" s="0" t="s">
        <v>154</v>
      </c>
      <c r="DW3" s="0" t="s">
        <v>154</v>
      </c>
      <c r="DX3" s="0" t="s">
        <v>154</v>
      </c>
      <c r="DY3" s="0" t="s">
        <v>161</v>
      </c>
      <c r="DZ3" s="0" t="s">
        <v>161</v>
      </c>
      <c r="EA3" s="0" t="s">
        <v>150</v>
      </c>
      <c r="EB3" s="0" t="s">
        <v>150</v>
      </c>
      <c r="EC3" s="0" t="s">
        <v>154</v>
      </c>
      <c r="ED3" s="0" t="s">
        <v>154</v>
      </c>
      <c r="EE3" s="0" t="s">
        <v>162</v>
      </c>
      <c r="EF3" s="0" t="s">
        <v>162</v>
      </c>
      <c r="EG3" s="0" t="s">
        <v>155</v>
      </c>
      <c r="EH3" s="0" t="s">
        <v>159</v>
      </c>
      <c r="EI3" s="0" t="s">
        <v>154</v>
      </c>
      <c r="EJ3" s="0" t="s">
        <v>154</v>
      </c>
      <c r="EK3" s="0" t="s">
        <v>153</v>
      </c>
      <c r="EL3" s="0" t="s">
        <v>153</v>
      </c>
      <c r="EM3" s="0" t="s">
        <v>154</v>
      </c>
      <c r="EN3" s="0" t="s">
        <v>154</v>
      </c>
      <c r="EO3" s="0" t="s">
        <v>152</v>
      </c>
      <c r="EP3" s="0" t="s">
        <v>152</v>
      </c>
      <c r="EQ3" s="0" t="s">
        <v>152</v>
      </c>
      <c r="ER3" s="0" t="s">
        <v>154</v>
      </c>
      <c r="ES3" s="0" t="s">
        <v>154</v>
      </c>
      <c r="ET3" s="0" t="s">
        <v>174</v>
      </c>
    </row>
    <row r="5" customFormat="false" ht="15" hidden="false" customHeight="false" outlineLevel="0" collapsed="false">
      <c r="C5" s="0" t="s">
        <v>175</v>
      </c>
      <c r="D5" s="0" t="s">
        <v>176</v>
      </c>
      <c r="E5" s="0" t="s">
        <v>177</v>
      </c>
      <c r="F5" s="0" t="s">
        <v>178</v>
      </c>
      <c r="G5" s="0" t="s">
        <v>179</v>
      </c>
      <c r="H5" s="0" t="s">
        <v>180</v>
      </c>
      <c r="I5" s="0" t="s">
        <v>181</v>
      </c>
      <c r="J5" s="0" t="s">
        <v>181</v>
      </c>
      <c r="K5" s="0" t="s">
        <v>181</v>
      </c>
      <c r="L5" s="0" t="s">
        <v>182</v>
      </c>
      <c r="M5" s="0" t="s">
        <v>183</v>
      </c>
      <c r="N5" s="0" t="s">
        <v>184</v>
      </c>
      <c r="O5" s="0" t="s">
        <v>185</v>
      </c>
      <c r="P5" s="0" t="s">
        <v>185</v>
      </c>
      <c r="Q5" s="0" t="s">
        <v>186</v>
      </c>
      <c r="R5" s="0" t="s">
        <v>187</v>
      </c>
      <c r="S5" s="0" t="s">
        <v>187</v>
      </c>
      <c r="T5" s="0" t="s">
        <v>182</v>
      </c>
      <c r="U5" s="0" t="s">
        <v>188</v>
      </c>
      <c r="V5" s="0" t="s">
        <v>189</v>
      </c>
      <c r="W5" s="0" t="s">
        <v>190</v>
      </c>
      <c r="X5" s="0" t="s">
        <v>180</v>
      </c>
      <c r="Y5" s="0" t="s">
        <v>191</v>
      </c>
      <c r="Z5" s="0" t="s">
        <v>181</v>
      </c>
      <c r="AA5" s="0" t="s">
        <v>192</v>
      </c>
      <c r="AB5" s="0" t="s">
        <v>192</v>
      </c>
      <c r="AC5" s="0" t="s">
        <v>187</v>
      </c>
      <c r="AD5" s="0" t="s">
        <v>193</v>
      </c>
      <c r="AE5" s="0" t="s">
        <v>179</v>
      </c>
      <c r="AF5" s="0" t="s">
        <v>187</v>
      </c>
      <c r="AG5" s="0" t="s">
        <v>194</v>
      </c>
      <c r="AH5" s="0" t="s">
        <v>186</v>
      </c>
      <c r="AI5" s="0" t="s">
        <v>182</v>
      </c>
      <c r="AJ5" s="0" t="s">
        <v>195</v>
      </c>
      <c r="AK5" s="0" t="s">
        <v>187</v>
      </c>
      <c r="AL5" s="0" t="s">
        <v>196</v>
      </c>
      <c r="AM5" s="0" t="s">
        <v>182</v>
      </c>
      <c r="AN5" s="0" t="s">
        <v>180</v>
      </c>
      <c r="AO5" s="0" t="s">
        <v>195</v>
      </c>
      <c r="AP5" s="0" t="s">
        <v>175</v>
      </c>
      <c r="AQ5" s="0" t="s">
        <v>197</v>
      </c>
      <c r="AR5" s="0" t="s">
        <v>195</v>
      </c>
      <c r="AS5" s="0" t="s">
        <v>186</v>
      </c>
      <c r="AT5" s="0" t="s">
        <v>185</v>
      </c>
      <c r="AU5" s="0" t="s">
        <v>182</v>
      </c>
      <c r="AV5" s="0" t="s">
        <v>191</v>
      </c>
      <c r="AW5" s="0" t="s">
        <v>198</v>
      </c>
      <c r="AX5" s="0" t="s">
        <v>187</v>
      </c>
      <c r="AY5" s="0" t="s">
        <v>199</v>
      </c>
      <c r="AZ5" s="0" t="s">
        <v>179</v>
      </c>
      <c r="BA5" s="0" t="s">
        <v>197</v>
      </c>
      <c r="BB5" s="0" t="s">
        <v>194</v>
      </c>
      <c r="BC5" s="0" t="s">
        <v>181</v>
      </c>
      <c r="BD5" s="0" t="s">
        <v>181</v>
      </c>
      <c r="BE5" s="0" t="s">
        <v>187</v>
      </c>
      <c r="BF5" s="0" t="s">
        <v>195</v>
      </c>
      <c r="BG5" s="0" t="s">
        <v>200</v>
      </c>
      <c r="BH5" s="0" t="s">
        <v>193</v>
      </c>
      <c r="BI5" s="0" t="s">
        <v>201</v>
      </c>
      <c r="BJ5" s="0" t="s">
        <v>202</v>
      </c>
      <c r="BK5" s="0" t="s">
        <v>181</v>
      </c>
      <c r="BL5" s="0" t="s">
        <v>203</v>
      </c>
      <c r="BM5" s="0" t="s">
        <v>194</v>
      </c>
      <c r="BN5" s="0" t="s">
        <v>182</v>
      </c>
      <c r="BO5" s="0" t="s">
        <v>180</v>
      </c>
      <c r="BP5" s="0" t="s">
        <v>204</v>
      </c>
      <c r="BQ5" s="0" t="s">
        <v>197</v>
      </c>
      <c r="BR5" s="0" t="s">
        <v>195</v>
      </c>
      <c r="BS5" s="0" t="s">
        <v>187</v>
      </c>
      <c r="BT5" s="0" t="s">
        <v>193</v>
      </c>
      <c r="BU5" s="0" t="s">
        <v>205</v>
      </c>
      <c r="BV5" s="0" t="s">
        <v>187</v>
      </c>
      <c r="BW5" s="0" t="s">
        <v>206</v>
      </c>
      <c r="BX5" s="0" t="s">
        <v>197</v>
      </c>
      <c r="BY5" s="0" t="s">
        <v>200</v>
      </c>
      <c r="BZ5" s="0" t="s">
        <v>180</v>
      </c>
      <c r="CA5" s="0" t="s">
        <v>187</v>
      </c>
      <c r="CB5" s="0" t="s">
        <v>187</v>
      </c>
      <c r="CC5" s="0" t="s">
        <v>202</v>
      </c>
      <c r="CD5" s="0" t="s">
        <v>185</v>
      </c>
      <c r="CE5" s="0" t="s">
        <v>193</v>
      </c>
      <c r="CF5" s="0" t="s">
        <v>207</v>
      </c>
      <c r="CG5" s="0" t="s">
        <v>208</v>
      </c>
      <c r="CH5" s="0" t="s">
        <v>209</v>
      </c>
      <c r="CI5" s="0" t="s">
        <v>210</v>
      </c>
      <c r="CJ5" s="0" t="s">
        <v>193</v>
      </c>
      <c r="CK5" s="0" t="s">
        <v>182</v>
      </c>
      <c r="CL5" s="0" t="s">
        <v>207</v>
      </c>
      <c r="CM5" s="0" t="s">
        <v>211</v>
      </c>
      <c r="CN5" s="0" t="s">
        <v>193</v>
      </c>
      <c r="CO5" s="0" t="s">
        <v>193</v>
      </c>
      <c r="CP5" s="0" t="s">
        <v>212</v>
      </c>
      <c r="CQ5" s="0" t="s">
        <v>213</v>
      </c>
      <c r="CR5" s="0" t="s">
        <v>190</v>
      </c>
      <c r="CS5" s="0" t="s">
        <v>187</v>
      </c>
      <c r="CT5" s="0" t="s">
        <v>188</v>
      </c>
      <c r="CU5" s="0" t="s">
        <v>190</v>
      </c>
      <c r="CV5" s="0" t="s">
        <v>214</v>
      </c>
      <c r="CW5" s="0" t="s">
        <v>181</v>
      </c>
      <c r="CX5" s="0" t="s">
        <v>179</v>
      </c>
      <c r="CY5" s="0" t="s">
        <v>181</v>
      </c>
      <c r="CZ5" s="0" t="s">
        <v>215</v>
      </c>
      <c r="DA5" s="0" t="s">
        <v>179</v>
      </c>
      <c r="DB5" s="0" t="s">
        <v>211</v>
      </c>
      <c r="DC5" s="0" t="s">
        <v>187</v>
      </c>
      <c r="DD5" s="0" t="s">
        <v>195</v>
      </c>
      <c r="DE5" s="0" t="s">
        <v>181</v>
      </c>
      <c r="DF5" s="0" t="s">
        <v>179</v>
      </c>
      <c r="DG5" s="0" t="s">
        <v>179</v>
      </c>
      <c r="DH5" s="0" t="s">
        <v>206</v>
      </c>
      <c r="DI5" s="0" t="s">
        <v>195</v>
      </c>
      <c r="DJ5" s="0" t="s">
        <v>195</v>
      </c>
      <c r="DK5" s="0" t="s">
        <v>175</v>
      </c>
      <c r="DL5" s="0" t="s">
        <v>188</v>
      </c>
      <c r="DM5" s="0" t="s">
        <v>216</v>
      </c>
      <c r="DN5" s="0" t="s">
        <v>216</v>
      </c>
      <c r="DO5" s="0" t="s">
        <v>181</v>
      </c>
      <c r="DP5" s="0" t="s">
        <v>181</v>
      </c>
      <c r="DQ5" s="0" t="s">
        <v>197</v>
      </c>
      <c r="DR5" s="0" t="s">
        <v>192</v>
      </c>
      <c r="DS5" s="0" t="s">
        <v>187</v>
      </c>
      <c r="DT5" s="0" t="s">
        <v>187</v>
      </c>
      <c r="DU5" s="0" t="s">
        <v>181</v>
      </c>
      <c r="DV5" s="0" t="s">
        <v>181</v>
      </c>
      <c r="DW5" s="0" t="s">
        <v>195</v>
      </c>
      <c r="DX5" s="0" t="s">
        <v>195</v>
      </c>
      <c r="DY5" s="0" t="s">
        <v>193</v>
      </c>
      <c r="DZ5" s="0" t="s">
        <v>193</v>
      </c>
      <c r="EA5" s="0" t="s">
        <v>182</v>
      </c>
      <c r="EB5" s="0" t="s">
        <v>182</v>
      </c>
      <c r="EC5" s="0" t="s">
        <v>195</v>
      </c>
      <c r="ED5" s="0" t="s">
        <v>195</v>
      </c>
      <c r="EE5" s="0" t="s">
        <v>217</v>
      </c>
      <c r="EF5" s="0" t="s">
        <v>191</v>
      </c>
      <c r="EG5" s="0" t="s">
        <v>187</v>
      </c>
      <c r="EH5" s="0" t="s">
        <v>194</v>
      </c>
      <c r="EI5" s="0" t="s">
        <v>195</v>
      </c>
      <c r="EJ5" s="0" t="s">
        <v>195</v>
      </c>
      <c r="EK5" s="0" t="s">
        <v>179</v>
      </c>
      <c r="EL5" s="0" t="s">
        <v>179</v>
      </c>
      <c r="EM5" s="0" t="s">
        <v>195</v>
      </c>
      <c r="EN5" s="0" t="s">
        <v>195</v>
      </c>
      <c r="EO5" s="0" t="s">
        <v>180</v>
      </c>
      <c r="EP5" s="0" t="s">
        <v>180</v>
      </c>
      <c r="EQ5" s="0" t="s">
        <v>180</v>
      </c>
      <c r="ER5" s="0" t="s">
        <v>195</v>
      </c>
      <c r="ES5" s="0" t="s">
        <v>195</v>
      </c>
      <c r="ET5" s="0" t="s">
        <v>218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6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27D65A-606D-462C-8FAE-732E393DF6D9}"/>
</file>

<file path=customXml/itemProps2.xml><?xml version="1.0" encoding="utf-8"?>
<ds:datastoreItem xmlns:ds="http://schemas.openxmlformats.org/officeDocument/2006/customXml" ds:itemID="{9C9681F8-13EB-46EC-8AAC-8215742CC19E}"/>
</file>

<file path=customXml/itemProps3.xml><?xml version="1.0" encoding="utf-8"?>
<ds:datastoreItem xmlns:ds="http://schemas.openxmlformats.org/officeDocument/2006/customXml" ds:itemID="{8A034566-02E4-4E99-903D-C7B24AD58DA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Theodore Papakonstantinou</cp:lastModifiedBy>
  <cp:revision>1</cp:revision>
  <dcterms:created xsi:type="dcterms:W3CDTF">2006-09-16T00:00:00Z</dcterms:created>
  <dcterms:modified xsi:type="dcterms:W3CDTF">2019-04-12T17:00:18Z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0x0101002D837B8920D00D4A8EFA68CF1C62BCD5</vt:lpwstr>
  </property>
</Properties>
</file>