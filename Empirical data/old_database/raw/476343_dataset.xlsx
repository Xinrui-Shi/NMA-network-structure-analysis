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<sst xmlns="http://schemas.openxmlformats.org/spreadsheetml/2006/main" count="27" uniqueCount="27">
  <si>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Study year</t>
  </si>
  <si>
    <t xml:space="preserve">Study name</t>
  </si>
  <si>
    <t xml:space="preserve">id</t>
  </si>
  <si>
    <t xml:space="preserve">t1</t>
  </si>
  <si>
    <t xml:space="preserve">t2</t>
  </si>
  <si>
    <t xml:space="preserve">yHR</t>
  </si>
  <si>
    <t xml:space="preserve">effect</t>
  </si>
  <si>
    <t xml:space="preserve">CILhr</t>
  </si>
  <si>
    <t xml:space="preserve">CIHhr</t>
  </si>
  <si>
    <t xml:space="preserve">CIL</t>
  </si>
  <si>
    <t xml:space="preserve">CIH</t>
  </si>
  <si>
    <t xml:space="preserve">seHR</t>
  </si>
  <si>
    <t xml:space="preserve">se</t>
  </si>
  <si>
    <t xml:space="preserve">Beneficial</t>
  </si>
  <si>
    <r>
      <rPr>
        <b val="true"/>
        <sz val="11"/>
        <color rgb="FF000000"/>
        <rFont val="Calibri"/>
        <family val="2"/>
        <charset val="1"/>
      </rPr>
      <t xml:space="preserve">Outcome:</t>
    </r>
    <r>
      <rPr>
        <sz val="10"/>
        <rFont val="Arial"/>
        <family val="2"/>
        <charset val="1"/>
      </rPr>
      <t xml:space="preserve"> Overall survival in the platinum-sensitive recurrent ovarian cancer</t>
    </r>
  </si>
  <si>
    <t xml:space="preserve">Alberts</t>
  </si>
  <si>
    <t xml:space="preserve">Bafaloukos</t>
  </si>
  <si>
    <t xml:space="preserve">Treatments</t>
  </si>
  <si>
    <t xml:space="preserve">PLDH + carboplatin</t>
  </si>
  <si>
    <t xml:space="preserve">ICON4/AGO-OVAR 2.261</t>
  </si>
  <si>
    <t xml:space="preserve">Carboplatin alone every 4 weeks</t>
  </si>
  <si>
    <t xml:space="preserve">CALYPSO</t>
  </si>
  <si>
    <t xml:space="preserve">Paclitaxel + carboplatin</t>
  </si>
  <si>
    <t xml:space="preserve">Gonzalez-Martin</t>
  </si>
  <si>
    <t xml:space="preserve">Carboplatin alone every day</t>
  </si>
  <si>
    <t xml:space="preserve">Pfisterer</t>
  </si>
  <si>
    <t xml:space="preserve">Gemcitabine plus carboplatin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</si>
</sst>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 2" xfId="20" builtinId="53" customBuiltin="true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4" t="s">
        <v>14</v>
      </c>
      <c r="P1" s="2"/>
      <c r="Q1" s="2"/>
      <c r="R1" s="2"/>
    </row>
    <row r="2" customFormat="false" ht="15" hidden="false" customHeight="false" outlineLevel="0" collapsed="false">
      <c r="A2" s="5" t="n">
        <v>2008</v>
      </c>
      <c r="B2" s="5" t="s">
        <v>15</v>
      </c>
      <c r="C2" s="5" t="n">
        <v>1</v>
      </c>
      <c r="D2" s="5" t="n">
        <v>1</v>
      </c>
      <c r="E2" s="5" t="n">
        <v>2</v>
      </c>
      <c r="F2" s="6" t="n">
        <v>0.7</v>
      </c>
      <c r="G2" s="6" t="n">
        <f aca="false">LN(F2)</f>
        <v>-0.356674943938732</v>
      </c>
      <c r="H2" s="6" t="n">
        <v>0.4</v>
      </c>
      <c r="I2" s="7" t="n">
        <v>1.21</v>
      </c>
      <c r="J2" s="7" t="n">
        <f aca="false">LN(H2)</f>
        <v>-0.916290731874155</v>
      </c>
      <c r="K2" s="7" t="n">
        <f aca="false">LN(I2)</f>
        <v>0.19062035960865</v>
      </c>
      <c r="L2" s="8" t="n">
        <f aca="false">(I2-H2)/(1.96*2)</f>
        <v>0.206632653061224</v>
      </c>
      <c r="M2" s="8" t="n">
        <f aca="false">(K2-J2)/(2*1.96)</f>
        <v>0.282375278439491</v>
      </c>
    </row>
    <row r="3" customFormat="false" ht="15" hidden="false" customHeight="false" outlineLevel="0" collapsed="false">
      <c r="A3" s="5" t="n">
        <v>2010</v>
      </c>
      <c r="B3" s="5" t="s">
        <v>16</v>
      </c>
      <c r="C3" s="5" t="n">
        <v>2</v>
      </c>
      <c r="D3" s="5" t="n">
        <v>1</v>
      </c>
      <c r="E3" s="5" t="n">
        <v>3</v>
      </c>
      <c r="F3" s="6" t="n">
        <v>1.15</v>
      </c>
      <c r="G3" s="6" t="n">
        <f aca="false">LN(F3)</f>
        <v>0.139761942375159</v>
      </c>
      <c r="H3" s="6" t="n">
        <v>0.78</v>
      </c>
      <c r="I3" s="5" t="n">
        <v>1.66</v>
      </c>
      <c r="J3" s="7" t="n">
        <f aca="false">LN(H3)</f>
        <v>-0.2484613592985</v>
      </c>
      <c r="K3" s="7" t="n">
        <f aca="false">LN(I3)</f>
        <v>0.506817602368452</v>
      </c>
      <c r="L3" s="8" t="n">
        <f aca="false">(I3-H3)/(1.96*2)</f>
        <v>0.224489795918367</v>
      </c>
      <c r="M3" s="8" t="n">
        <f aca="false">(K3-J3)/(2*1.96)</f>
        <v>0.192673204506875</v>
      </c>
      <c r="P3" s="0" t="s">
        <v>17</v>
      </c>
      <c r="Q3" s="0" t="n">
        <v>1</v>
      </c>
      <c r="R3" s="0" t="s">
        <v>18</v>
      </c>
    </row>
    <row r="4" customFormat="false" ht="15" hidden="false" customHeight="false" outlineLevel="0" collapsed="false">
      <c r="A4" s="5" t="n">
        <v>2003</v>
      </c>
      <c r="B4" s="5" t="s">
        <v>19</v>
      </c>
      <c r="C4" s="5" t="n">
        <v>3</v>
      </c>
      <c r="D4" s="5" t="n">
        <v>3</v>
      </c>
      <c r="E4" s="7" t="n">
        <v>4</v>
      </c>
      <c r="F4" s="6" t="n">
        <v>0.82</v>
      </c>
      <c r="G4" s="6" t="n">
        <f aca="false">LN(F4)</f>
        <v>-0.198450938723838</v>
      </c>
      <c r="H4" s="6" t="n">
        <v>0.69</v>
      </c>
      <c r="I4" s="5" t="n">
        <v>0.97</v>
      </c>
      <c r="J4" s="7" t="n">
        <f aca="false">LN(H4)</f>
        <v>-0.371063681390832</v>
      </c>
      <c r="K4" s="7" t="n">
        <f aca="false">LN(I4)</f>
        <v>-0.0304592074847086</v>
      </c>
      <c r="L4" s="8" t="n">
        <f aca="false">(I4-H4)/(1.96*2)</f>
        <v>0.0714285714285714</v>
      </c>
      <c r="M4" s="8" t="n">
        <f aca="false">(K4-J4)/(2*1.96)</f>
        <v>0.0868888964046233</v>
      </c>
      <c r="P4" s="4"/>
      <c r="Q4" s="0" t="n">
        <v>2</v>
      </c>
      <c r="R4" s="0" t="s">
        <v>20</v>
      </c>
    </row>
    <row r="5" customFormat="false" ht="15" hidden="false" customHeight="false" outlineLevel="0" collapsed="false">
      <c r="A5" s="5" t="n">
        <v>2012</v>
      </c>
      <c r="B5" s="5" t="s">
        <v>21</v>
      </c>
      <c r="C5" s="5" t="n">
        <v>4</v>
      </c>
      <c r="D5" s="7" t="n">
        <v>1</v>
      </c>
      <c r="E5" s="7" t="n">
        <v>3</v>
      </c>
      <c r="F5" s="6" t="n">
        <v>0.99</v>
      </c>
      <c r="G5" s="6" t="n">
        <f aca="false">LN(F5)</f>
        <v>-0.0100503358535015</v>
      </c>
      <c r="H5" s="6" t="n">
        <v>0.85</v>
      </c>
      <c r="I5" s="5" t="n">
        <v>1.16</v>
      </c>
      <c r="J5" s="7" t="n">
        <f aca="false">LN(H5)</f>
        <v>-0.162518929497775</v>
      </c>
      <c r="K5" s="7" t="n">
        <f aca="false">LN(I5)</f>
        <v>0.148420005118273</v>
      </c>
      <c r="L5" s="8" t="n">
        <f aca="false">(I5-H5)/(1.96*2)</f>
        <v>0.0790816326530612</v>
      </c>
      <c r="M5" s="8" t="n">
        <f aca="false">(K5-J5)/(2*1.96)</f>
        <v>0.0793211567898082</v>
      </c>
      <c r="P5" s="4"/>
      <c r="Q5" s="0" t="n">
        <v>3</v>
      </c>
      <c r="R5" s="0" t="s">
        <v>22</v>
      </c>
    </row>
    <row r="6" customFormat="false" ht="15" hidden="false" customHeight="false" outlineLevel="0" collapsed="false">
      <c r="A6" s="5" t="n">
        <v>2005</v>
      </c>
      <c r="B6" s="5" t="s">
        <v>23</v>
      </c>
      <c r="C6" s="5" t="n">
        <v>5</v>
      </c>
      <c r="D6" s="5" t="n">
        <v>3</v>
      </c>
      <c r="E6" s="7" t="n">
        <v>4</v>
      </c>
      <c r="F6" s="6" t="n">
        <v>0.31</v>
      </c>
      <c r="G6" s="6" t="n">
        <f aca="false">LN(F6)</f>
        <v>-1.17118298150295</v>
      </c>
      <c r="H6" s="6" t="n">
        <v>0.14</v>
      </c>
      <c r="I6" s="5" t="n">
        <v>0.68</v>
      </c>
      <c r="J6" s="7" t="n">
        <f aca="false">LN(H6)</f>
        <v>-1.96611285637283</v>
      </c>
      <c r="K6" s="7" t="n">
        <f aca="false">LN(I6)</f>
        <v>-0.385662480811985</v>
      </c>
      <c r="L6" s="8" t="n">
        <f aca="false">(I6-H6)/(1.96*2)</f>
        <v>0.137755102040816</v>
      </c>
      <c r="M6" s="8" t="n">
        <f aca="false">(K6-J6)/(2*1.96)</f>
        <v>0.403176116214502</v>
      </c>
      <c r="P6" s="4"/>
      <c r="Q6" s="0" t="n">
        <v>4</v>
      </c>
      <c r="R6" s="0" t="s">
        <v>24</v>
      </c>
    </row>
    <row r="7" customFormat="false" ht="15" hidden="false" customHeight="false" outlineLevel="0" collapsed="false">
      <c r="A7" s="5" t="n">
        <v>2006</v>
      </c>
      <c r="B7" s="5" t="s">
        <v>25</v>
      </c>
      <c r="C7" s="5" t="n">
        <v>6</v>
      </c>
      <c r="D7" s="5" t="n">
        <v>5</v>
      </c>
      <c r="E7" s="7" t="n">
        <v>4</v>
      </c>
      <c r="F7" s="6" t="n">
        <v>0.96</v>
      </c>
      <c r="G7" s="6" t="n">
        <f aca="false">LN(F7)</f>
        <v>-0.0408219945202552</v>
      </c>
      <c r="H7" s="6" t="n">
        <v>0.75</v>
      </c>
      <c r="I7" s="5" t="n">
        <v>1.23</v>
      </c>
      <c r="J7" s="7" t="n">
        <f aca="false">LN(H7)</f>
        <v>-0.287682072451781</v>
      </c>
      <c r="K7" s="7" t="n">
        <f aca="false">LN(I7)</f>
        <v>0.207014169384326</v>
      </c>
      <c r="L7" s="6" t="n">
        <f aca="false">(I7-H7)/(1.96*2)</f>
        <v>0.122448979591837</v>
      </c>
      <c r="M7" s="8" t="n">
        <f aca="false">(K7-J7)/(2*1.96)</f>
        <v>0.126198020876558</v>
      </c>
      <c r="P7" s="4"/>
      <c r="Q7" s="0" t="n">
        <v>5</v>
      </c>
      <c r="R7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7DB4F9-41F1-4D64-A221-54ADE3CDD3B4}"/>
</file>

<file path=customXml/itemProps2.xml><?xml version="1.0" encoding="utf-8"?>
<ds:datastoreItem xmlns:ds="http://schemas.openxmlformats.org/officeDocument/2006/customXml" ds:itemID="{1178CF64-1505-4985-91D0-7F0D24EFDBA9}"/>
</file>

<file path=customXml/itemProps3.xml><?xml version="1.0" encoding="utf-8"?>
<ds:datastoreItem xmlns:ds="http://schemas.openxmlformats.org/officeDocument/2006/customXml" ds:itemID="{7698BB26-B169-4143-8B87-3A98C2EBAE89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Theodore Papakonstantinou</cp:lastModifiedBy>
  <cp:revision>1</cp:revision>
  <dcterms:created xsi:type="dcterms:W3CDTF">2019-02-26T12:16:08Z</dcterms:created>
  <dcterms:modified xsi:type="dcterms:W3CDTF">2019-04-12T17:08:10Z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0x0101002D837B8920D00D4A8EFA68CF1C62BCD5</vt:lpwstr>
  </property>
</Properties>
</file>