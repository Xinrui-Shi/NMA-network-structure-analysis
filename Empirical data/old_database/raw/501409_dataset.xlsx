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35" yWindow="660" windowWidth="15990" windowHeight="12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Sheet1!$I$5:$K$27</definedName>
  </definedNames>
  <calcPr calcId="144525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2" i="1"/>
</calcChain>
</file>

<file path=xl/sharedStrings.xml><?xml version="1.0" encoding="utf-8"?>
<sst xmlns="http://schemas.openxmlformats.org/spreadsheetml/2006/main" count="163" uniqueCount="92">
  <si>
    <t>id</t>
  </si>
  <si>
    <t xml:space="preserve">n </t>
  </si>
  <si>
    <t>Study name</t>
  </si>
  <si>
    <t>Study year</t>
  </si>
  <si>
    <t>se</t>
  </si>
  <si>
    <t xml:space="preserve">Flap </t>
  </si>
  <si>
    <t>EMD+24%EDTA</t>
  </si>
  <si>
    <t>EMD+24%EDTA+TCP</t>
  </si>
  <si>
    <t>EMD+24%EDTA+Bio-Oss</t>
  </si>
  <si>
    <t>EMD+24%EDTA+Bio-Oss+PRP</t>
  </si>
  <si>
    <t>EMD+37%orthophosphoric acid gel</t>
  </si>
  <si>
    <t>EMD+37%orthophosphoric acid gel+GTR(Tissue Guide)</t>
  </si>
  <si>
    <t>EMD+24%EDTA+Autogenous bone grafts</t>
  </si>
  <si>
    <t>EMD+citric acid</t>
  </si>
  <si>
    <t>GTR(Resolut XT)+24%EDTA+TCP</t>
  </si>
  <si>
    <t>GTR(Resolut XT)+24%EDTA+TCP+PRP</t>
  </si>
  <si>
    <t>GTR</t>
  </si>
  <si>
    <t xml:space="preserve">EMD+GTR </t>
  </si>
  <si>
    <t>EMD+24%EDTA+perioglass</t>
  </si>
  <si>
    <t>Flap +24% EDTA</t>
  </si>
  <si>
    <t>GTR + Bio-Oss</t>
  </si>
  <si>
    <t>GTR+ Bio-Oss+PRP</t>
  </si>
  <si>
    <t>GTR+ TCP</t>
  </si>
  <si>
    <t>GTR+DFDBA</t>
  </si>
  <si>
    <t>EMD+24%EDTA+GTR</t>
  </si>
  <si>
    <t>Flap+PGA</t>
  </si>
  <si>
    <t>GTR+ TCP+PRP</t>
  </si>
  <si>
    <t xml:space="preserve">Sculean </t>
  </si>
  <si>
    <t>2001b</t>
  </si>
  <si>
    <t>Bokan</t>
  </si>
  <si>
    <t>Dori</t>
  </si>
  <si>
    <t xml:space="preserve"> 2008b</t>
  </si>
  <si>
    <t>Francetti</t>
  </si>
  <si>
    <t>Minabe</t>
  </si>
  <si>
    <t>2005b</t>
  </si>
  <si>
    <t xml:space="preserve">Silvestri </t>
  </si>
  <si>
    <t xml:space="preserve">Tonetti </t>
  </si>
  <si>
    <t xml:space="preserve">Zucchelli </t>
  </si>
  <si>
    <t xml:space="preserve">Guida </t>
  </si>
  <si>
    <t xml:space="preserve">Grusovin </t>
  </si>
  <si>
    <t xml:space="preserve">Yilmaz </t>
  </si>
  <si>
    <t>Sanz</t>
  </si>
  <si>
    <t xml:space="preserve">Sanz </t>
  </si>
  <si>
    <t>Tonetti</t>
  </si>
  <si>
    <t xml:space="preserve">Cortellini </t>
  </si>
  <si>
    <t xml:space="preserve">Mayfield </t>
  </si>
  <si>
    <t>2007b</t>
  </si>
  <si>
    <t>2008a</t>
  </si>
  <si>
    <t>2007a</t>
  </si>
  <si>
    <t>2005a</t>
  </si>
  <si>
    <t>Döri</t>
  </si>
  <si>
    <t xml:space="preserve">Trejo </t>
  </si>
  <si>
    <t>Trejo</t>
  </si>
  <si>
    <t xml:space="preserve">Paolantonio </t>
  </si>
  <si>
    <t>Stavropoulos</t>
  </si>
  <si>
    <t xml:space="preserve">Siciliano </t>
  </si>
  <si>
    <t xml:space="preserve">Meyle </t>
  </si>
  <si>
    <t xml:space="preserve">Blumenthal </t>
  </si>
  <si>
    <t xml:space="preserve">Sipos </t>
  </si>
  <si>
    <t xml:space="preserve">Froum </t>
  </si>
  <si>
    <t>Heij</t>
  </si>
  <si>
    <t xml:space="preserve">Okuda </t>
  </si>
  <si>
    <t xml:space="preserve">Rosing </t>
  </si>
  <si>
    <t xml:space="preserve">Chambrone </t>
  </si>
  <si>
    <t xml:space="preserve">Loos </t>
  </si>
  <si>
    <t xml:space="preserve">Pritlove-Carson </t>
  </si>
  <si>
    <t xml:space="preserve">Ratka-Kruger </t>
  </si>
  <si>
    <t xml:space="preserve">Christau </t>
  </si>
  <si>
    <t>Mora</t>
  </si>
  <si>
    <t xml:space="preserve">Mora </t>
  </si>
  <si>
    <t xml:space="preserve">Fickl </t>
  </si>
  <si>
    <t xml:space="preserve">DiBattista </t>
  </si>
  <si>
    <r>
      <t>Outcome</t>
    </r>
    <r>
      <rPr>
        <sz val="11"/>
        <rFont val="Calibri"/>
        <family val="2"/>
        <scheme val="minor"/>
      </rPr>
      <t>: Reduction in probing pocket depth (PPD)</t>
    </r>
  </si>
  <si>
    <t>Crea</t>
  </si>
  <si>
    <t>EMD</t>
  </si>
  <si>
    <t>EMD+BG</t>
  </si>
  <si>
    <t>GTR+BG</t>
  </si>
  <si>
    <t>EMD+BG+PRP</t>
  </si>
  <si>
    <t>GTR+EMD</t>
  </si>
  <si>
    <t>GTR+BG+PRP</t>
  </si>
  <si>
    <t>Treatment Class</t>
  </si>
  <si>
    <t>Code</t>
  </si>
  <si>
    <t>Treatment Name</t>
  </si>
  <si>
    <t>Beneficial</t>
  </si>
  <si>
    <t xml:space="preserve">Code </t>
  </si>
  <si>
    <t>Flap Operation</t>
  </si>
  <si>
    <r>
      <rPr>
        <b/>
        <sz val="11"/>
        <rFont val="Calibri"/>
        <family val="2"/>
      </rPr>
      <t>NOTE:</t>
    </r>
    <r>
      <rPr>
        <sz val="11"/>
        <rFont val="Calibri"/>
        <family val="2"/>
      </rPr>
      <t xml:space="preserve"> Treatments grouped into 8 classes for NMA 
(tx class; column E), but were presented individually in 
raw data (tx; column D)</t>
    </r>
  </si>
  <si>
    <t>Pontoriero 1999a</t>
  </si>
  <si>
    <t>Pontoriero 1999b</t>
  </si>
  <si>
    <t xml:space="preserve">y </t>
  </si>
  <si>
    <t>t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</si>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</sst>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/>
    <xf numFmtId="0" fontId="3" fillId="0" borderId="1" xfId="1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/>
    <xf numFmtId="2" fontId="0" fillId="0" borderId="0" xfId="0" applyNumberFormat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2" fontId="0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3" borderId="0" xfId="0" applyFont="1" applyFill="1"/>
    <xf numFmtId="0" fontId="3" fillId="0" borderId="1" xfId="1" applyFont="1" applyFill="1" applyBorder="1" applyAlignment="1"/>
    <xf numFmtId="0" fontId="4" fillId="2" borderId="5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/>
    <xf numFmtId="0" fontId="2" fillId="2" borderId="4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Border="1" applyAlignment="1">
      <alignment horizontal="left"/>
    </xf>
    <xf numFmtId="0" fontId="4" fillId="2" borderId="0" xfId="1" applyFont="1" applyFill="1" applyBorder="1" applyAlignment="1">
      <alignment horizontal="left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0" xfId="1" applyFont="1" applyFill="1" applyBorder="1" applyAlignment="1">
      <alignment horizontal="center" vertical="top" wrapText="1"/>
    </xf>
    <xf numFmtId="2" fontId="0" fillId="5" borderId="0" xfId="0" applyNumberFormat="1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2" fontId="0" fillId="6" borderId="0" xfId="0" applyNumberFormat="1" applyFont="1" applyFill="1" applyAlignment="1">
      <alignment horizontal="center" vertical="center"/>
    </xf>
    <xf numFmtId="0" fontId="4" fillId="6" borderId="0" xfId="1" applyFont="1" applyFill="1" applyBorder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8" fillId="0" borderId="1" xfId="0" applyFont="1" applyBorder="1"/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zoomScale="90" zoomScaleNormal="90" workbookViewId="0">
      <selection activeCell="K101" sqref="K101"/>
    </sheetView>
  </sheetViews>
  <sheetFormatPr defaultRowHeight="15" x14ac:dyDescent="0.25"/>
  <cols>
    <col min="1" max="1" width="10.28515625" style="4" bestFit="1" customWidth="1"/>
    <col min="2" max="2" width="19.140625" style="4" bestFit="1" customWidth="1"/>
    <col min="3" max="3" width="9.140625" style="4"/>
    <col min="4" max="4" width="14.140625" style="4" customWidth="1"/>
    <col min="5" max="5" width="18.85546875" style="6" bestFit="1" customWidth="1"/>
    <col min="6" max="6" width="9.140625" style="6"/>
    <col min="7" max="7" width="9.140625" style="4"/>
    <col min="8" max="8" width="9.140625" style="5" customWidth="1"/>
    <col min="9" max="9" width="9.7109375" style="5" customWidth="1"/>
    <col min="10" max="10" width="20.5703125" style="5" customWidth="1"/>
    <col min="11" max="11" width="20" style="5" customWidth="1"/>
    <col min="12" max="12" width="9.140625" style="5"/>
    <col min="13" max="13" width="9.140625" style="5" customWidth="1"/>
    <col min="14" max="16384" width="9.140625" style="5"/>
  </cols>
  <sheetData>
    <row r="1" spans="1:12" s="2" customFormat="1" x14ac:dyDescent="0.25">
      <c r="A1" s="1" t="s">
        <v>3</v>
      </c>
      <c r="B1" s="7" t="s">
        <v>2</v>
      </c>
      <c r="C1" s="7" t="s">
        <v>0</v>
      </c>
      <c r="D1" s="7" t="s">
        <v>90</v>
      </c>
      <c r="E1" s="8" t="s">
        <v>89</v>
      </c>
      <c r="F1" s="8" t="s">
        <v>4</v>
      </c>
      <c r="G1" s="7" t="s">
        <v>1</v>
      </c>
      <c r="H1" s="36" t="s">
        <v>91</v>
      </c>
      <c r="I1" s="15" t="s">
        <v>83</v>
      </c>
      <c r="J1" s="3" t="s">
        <v>72</v>
      </c>
    </row>
    <row r="2" spans="1:12" ht="15" customHeight="1" x14ac:dyDescent="0.25">
      <c r="A2" s="4" t="s">
        <v>28</v>
      </c>
      <c r="B2" s="10" t="s">
        <v>27</v>
      </c>
      <c r="C2" s="9">
        <v>1</v>
      </c>
      <c r="D2" s="10">
        <v>1</v>
      </c>
      <c r="E2" s="12">
        <v>3.7</v>
      </c>
      <c r="F2" s="5">
        <v>0.37416573867739411</v>
      </c>
      <c r="G2" s="9">
        <v>14</v>
      </c>
      <c r="H2" s="11">
        <f>F2*SQRT(G2)</f>
        <v>1.4</v>
      </c>
      <c r="I2" s="29" t="s">
        <v>86</v>
      </c>
      <c r="J2" s="29"/>
      <c r="K2" s="29"/>
      <c r="L2" s="29"/>
    </row>
    <row r="3" spans="1:12" x14ac:dyDescent="0.25">
      <c r="B3" s="10" t="s">
        <v>27</v>
      </c>
      <c r="C3" s="9">
        <v>1</v>
      </c>
      <c r="D3" s="4">
        <v>2</v>
      </c>
      <c r="E3" s="6">
        <v>4.0999999999999996</v>
      </c>
      <c r="F3" s="5">
        <v>0.45434411125112145</v>
      </c>
      <c r="G3" s="9">
        <v>14</v>
      </c>
      <c r="H3" s="11">
        <f t="shared" ref="H3:H66" si="0">F3*SQRT(G3)</f>
        <v>1.7</v>
      </c>
      <c r="I3" s="30"/>
      <c r="J3" s="30"/>
      <c r="K3" s="30"/>
      <c r="L3" s="30"/>
    </row>
    <row r="4" spans="1:12" ht="15" customHeight="1" x14ac:dyDescent="0.25">
      <c r="B4" s="10" t="s">
        <v>27</v>
      </c>
      <c r="C4" s="4">
        <v>1</v>
      </c>
      <c r="D4" s="4">
        <v>4</v>
      </c>
      <c r="E4" s="6">
        <v>4.2</v>
      </c>
      <c r="F4" s="5">
        <v>0.50779635963360636</v>
      </c>
      <c r="G4" s="9">
        <v>14</v>
      </c>
      <c r="H4" s="11">
        <f t="shared" si="0"/>
        <v>1.9000000000000001</v>
      </c>
      <c r="I4" s="30"/>
      <c r="J4" s="30"/>
      <c r="K4" s="30"/>
      <c r="L4" s="30"/>
    </row>
    <row r="5" spans="1:12" ht="15" customHeight="1" x14ac:dyDescent="0.25">
      <c r="B5" s="10" t="s">
        <v>27</v>
      </c>
      <c r="C5" s="4">
        <v>1</v>
      </c>
      <c r="D5" s="4">
        <v>6</v>
      </c>
      <c r="E5" s="6">
        <v>4.3</v>
      </c>
      <c r="F5" s="5">
        <v>0.37416573867739411</v>
      </c>
      <c r="G5" s="9">
        <v>14</v>
      </c>
      <c r="H5" s="11">
        <f t="shared" si="0"/>
        <v>1.4</v>
      </c>
      <c r="I5" s="18" t="s">
        <v>81</v>
      </c>
      <c r="J5" s="19" t="s">
        <v>82</v>
      </c>
      <c r="K5" s="20" t="s">
        <v>80</v>
      </c>
    </row>
    <row r="6" spans="1:12" ht="15" customHeight="1" x14ac:dyDescent="0.25">
      <c r="A6" s="4">
        <v>2006</v>
      </c>
      <c r="B6" s="4" t="s">
        <v>29</v>
      </c>
      <c r="C6" s="9">
        <v>2</v>
      </c>
      <c r="D6" s="4">
        <v>1</v>
      </c>
      <c r="E6" s="6">
        <v>3.8</v>
      </c>
      <c r="F6" s="6">
        <v>0.42</v>
      </c>
      <c r="G6" s="9">
        <v>18</v>
      </c>
      <c r="H6" s="11">
        <f t="shared" si="0"/>
        <v>1.7819090885900994</v>
      </c>
      <c r="I6" s="16">
        <v>1</v>
      </c>
      <c r="J6" s="25" t="s">
        <v>5</v>
      </c>
      <c r="K6" s="21">
        <v>1</v>
      </c>
    </row>
    <row r="7" spans="1:12" ht="15" customHeight="1" x14ac:dyDescent="0.25">
      <c r="B7" s="4" t="s">
        <v>29</v>
      </c>
      <c r="C7" s="9">
        <v>2</v>
      </c>
      <c r="D7" s="4">
        <v>2</v>
      </c>
      <c r="E7" s="6">
        <v>3.9</v>
      </c>
      <c r="F7" s="6">
        <v>0.3</v>
      </c>
      <c r="G7" s="9">
        <v>19</v>
      </c>
      <c r="H7" s="11">
        <f t="shared" si="0"/>
        <v>1.3076696830622021</v>
      </c>
      <c r="I7" s="16">
        <v>2</v>
      </c>
      <c r="J7" s="25" t="s">
        <v>6</v>
      </c>
      <c r="K7" s="21">
        <v>2</v>
      </c>
    </row>
    <row r="8" spans="1:12" ht="15" customHeight="1" x14ac:dyDescent="0.25">
      <c r="B8" s="4" t="s">
        <v>29</v>
      </c>
      <c r="C8" s="4">
        <v>2</v>
      </c>
      <c r="D8" s="4">
        <v>3</v>
      </c>
      <c r="E8" s="6">
        <v>4.0999999999999996</v>
      </c>
      <c r="F8" s="6">
        <v>0.28000000000000003</v>
      </c>
      <c r="G8" s="9">
        <v>19</v>
      </c>
      <c r="H8" s="11">
        <f t="shared" si="0"/>
        <v>1.2204917041913887</v>
      </c>
      <c r="I8" s="16">
        <v>3</v>
      </c>
      <c r="J8" s="26" t="s">
        <v>16</v>
      </c>
      <c r="K8" s="21">
        <v>4</v>
      </c>
    </row>
    <row r="9" spans="1:12" ht="15" customHeight="1" x14ac:dyDescent="0.25">
      <c r="A9" s="4" t="s">
        <v>31</v>
      </c>
      <c r="B9" s="4" t="s">
        <v>30</v>
      </c>
      <c r="C9" s="9">
        <v>3</v>
      </c>
      <c r="D9" s="4">
        <v>3</v>
      </c>
      <c r="E9" s="6">
        <v>5.9</v>
      </c>
      <c r="F9" s="6">
        <v>0.36</v>
      </c>
      <c r="G9" s="9">
        <v>13</v>
      </c>
      <c r="H9" s="11">
        <f t="shared" si="0"/>
        <v>1.2979984591670359</v>
      </c>
      <c r="I9" s="16">
        <v>4</v>
      </c>
      <c r="J9" s="25" t="s">
        <v>17</v>
      </c>
      <c r="K9" s="21">
        <v>6</v>
      </c>
    </row>
    <row r="10" spans="1:12" ht="15" customHeight="1" x14ac:dyDescent="0.25">
      <c r="B10" s="4" t="s">
        <v>30</v>
      </c>
      <c r="C10" s="9">
        <v>3</v>
      </c>
      <c r="D10" s="4">
        <v>7</v>
      </c>
      <c r="E10" s="6">
        <v>5.8</v>
      </c>
      <c r="F10" s="6">
        <v>0.5</v>
      </c>
      <c r="G10" s="9">
        <v>13</v>
      </c>
      <c r="H10" s="11">
        <f t="shared" si="0"/>
        <v>1.8027756377319946</v>
      </c>
      <c r="I10" s="16">
        <v>5</v>
      </c>
      <c r="J10" s="25" t="s">
        <v>7</v>
      </c>
      <c r="K10" s="21">
        <v>3</v>
      </c>
    </row>
    <row r="11" spans="1:12" ht="15" customHeight="1" x14ac:dyDescent="0.25">
      <c r="A11" s="4">
        <v>2004</v>
      </c>
      <c r="B11" s="4" t="s">
        <v>32</v>
      </c>
      <c r="C11" s="9">
        <v>4</v>
      </c>
      <c r="D11" s="4">
        <v>1</v>
      </c>
      <c r="E11" s="6">
        <v>2.57</v>
      </c>
      <c r="F11" s="6">
        <v>0.37</v>
      </c>
      <c r="G11" s="9">
        <v>12</v>
      </c>
      <c r="H11" s="11">
        <f t="shared" si="0"/>
        <v>1.2817175976009691</v>
      </c>
      <c r="I11" s="16">
        <v>6</v>
      </c>
      <c r="J11" s="25" t="s">
        <v>8</v>
      </c>
      <c r="K11" s="21">
        <v>3</v>
      </c>
    </row>
    <row r="12" spans="1:12" ht="15" customHeight="1" x14ac:dyDescent="0.25">
      <c r="B12" s="4" t="s">
        <v>32</v>
      </c>
      <c r="C12" s="9">
        <v>4</v>
      </c>
      <c r="D12" s="4">
        <v>2</v>
      </c>
      <c r="E12" s="6">
        <v>4.71</v>
      </c>
      <c r="F12" s="6">
        <v>0.46</v>
      </c>
      <c r="G12" s="9">
        <v>12</v>
      </c>
      <c r="H12" s="11">
        <f t="shared" si="0"/>
        <v>1.593486742963367</v>
      </c>
      <c r="I12" s="16">
        <v>7</v>
      </c>
      <c r="J12" s="25" t="s">
        <v>9</v>
      </c>
      <c r="K12" s="21">
        <v>7</v>
      </c>
    </row>
    <row r="13" spans="1:12" ht="15" customHeight="1" x14ac:dyDescent="0.25">
      <c r="A13" s="4">
        <v>2005</v>
      </c>
      <c r="B13" s="4" t="s">
        <v>32</v>
      </c>
      <c r="C13" s="9">
        <v>5</v>
      </c>
      <c r="D13" s="4">
        <v>1</v>
      </c>
      <c r="E13" s="6">
        <v>3</v>
      </c>
      <c r="F13" s="6">
        <v>0.22</v>
      </c>
      <c r="G13" s="9">
        <v>46</v>
      </c>
      <c r="H13" s="11">
        <f t="shared" si="0"/>
        <v>1.492112596287559</v>
      </c>
      <c r="I13" s="16">
        <v>8</v>
      </c>
      <c r="J13" s="26" t="s">
        <v>10</v>
      </c>
      <c r="K13" s="21">
        <v>2</v>
      </c>
    </row>
    <row r="14" spans="1:12" ht="15" customHeight="1" x14ac:dyDescent="0.25">
      <c r="B14" s="4" t="s">
        <v>32</v>
      </c>
      <c r="C14" s="9">
        <v>5</v>
      </c>
      <c r="D14" s="4">
        <v>2</v>
      </c>
      <c r="E14" s="6">
        <v>4</v>
      </c>
      <c r="F14" s="6">
        <v>0.25</v>
      </c>
      <c r="G14" s="9">
        <v>64</v>
      </c>
      <c r="H14" s="11">
        <f t="shared" si="0"/>
        <v>2</v>
      </c>
      <c r="I14" s="16">
        <v>9</v>
      </c>
      <c r="J14" s="25" t="s">
        <v>11</v>
      </c>
      <c r="K14" s="21">
        <v>6</v>
      </c>
    </row>
    <row r="15" spans="1:12" ht="15" customHeight="1" x14ac:dyDescent="0.25">
      <c r="A15" s="4">
        <v>2002</v>
      </c>
      <c r="B15" s="4" t="s">
        <v>33</v>
      </c>
      <c r="C15" s="9">
        <v>6</v>
      </c>
      <c r="D15" s="4">
        <v>2</v>
      </c>
      <c r="E15" s="6">
        <v>3.8</v>
      </c>
      <c r="F15" s="6">
        <v>0.22</v>
      </c>
      <c r="G15" s="9">
        <v>17</v>
      </c>
      <c r="H15" s="11">
        <f t="shared" si="0"/>
        <v>0.90708323763588539</v>
      </c>
      <c r="I15" s="16">
        <v>10</v>
      </c>
      <c r="J15" s="25" t="s">
        <v>18</v>
      </c>
      <c r="K15" s="21">
        <v>3</v>
      </c>
    </row>
    <row r="16" spans="1:12" ht="15" customHeight="1" x14ac:dyDescent="0.25">
      <c r="B16" s="4" t="s">
        <v>33</v>
      </c>
      <c r="C16" s="9">
        <v>6</v>
      </c>
      <c r="D16" s="4">
        <v>6</v>
      </c>
      <c r="E16" s="6">
        <v>4.3</v>
      </c>
      <c r="F16" s="6">
        <v>0.35</v>
      </c>
      <c r="G16" s="9">
        <v>21</v>
      </c>
      <c r="H16" s="11">
        <f t="shared" si="0"/>
        <v>1.6039014932345439</v>
      </c>
      <c r="I16" s="16">
        <v>11</v>
      </c>
      <c r="J16" s="25" t="s">
        <v>19</v>
      </c>
      <c r="K16" s="21">
        <v>1</v>
      </c>
    </row>
    <row r="17" spans="1:14" ht="15" customHeight="1" x14ac:dyDescent="0.25">
      <c r="A17" s="4" t="s">
        <v>34</v>
      </c>
      <c r="B17" s="4" t="s">
        <v>27</v>
      </c>
      <c r="C17" s="9">
        <v>7</v>
      </c>
      <c r="D17" s="4">
        <v>2</v>
      </c>
      <c r="E17" s="6">
        <v>4.5</v>
      </c>
      <c r="F17" s="6">
        <v>0.52</v>
      </c>
      <c r="G17" s="9">
        <v>15</v>
      </c>
      <c r="H17" s="11">
        <f t="shared" si="0"/>
        <v>2.013951340027857</v>
      </c>
      <c r="I17" s="16">
        <v>12</v>
      </c>
      <c r="J17" s="27" t="s">
        <v>12</v>
      </c>
      <c r="K17" s="21">
        <v>3</v>
      </c>
    </row>
    <row r="18" spans="1:14" ht="15" customHeight="1" x14ac:dyDescent="0.25">
      <c r="B18" s="4" t="s">
        <v>27</v>
      </c>
      <c r="C18" s="9">
        <v>7</v>
      </c>
      <c r="D18" s="4">
        <v>3</v>
      </c>
      <c r="E18" s="6">
        <v>4.2</v>
      </c>
      <c r="F18" s="6">
        <v>0.36</v>
      </c>
      <c r="G18" s="9">
        <v>15</v>
      </c>
      <c r="H18" s="11">
        <f t="shared" si="0"/>
        <v>1.39427400463467</v>
      </c>
      <c r="I18" s="16">
        <v>13</v>
      </c>
      <c r="J18" s="27" t="s">
        <v>20</v>
      </c>
      <c r="K18" s="21">
        <v>5</v>
      </c>
    </row>
    <row r="19" spans="1:14" ht="15" customHeight="1" x14ac:dyDescent="0.25">
      <c r="A19" s="4">
        <v>2000</v>
      </c>
      <c r="B19" s="4" t="s">
        <v>35</v>
      </c>
      <c r="C19" s="9">
        <v>8</v>
      </c>
      <c r="D19" s="4">
        <v>1</v>
      </c>
      <c r="E19" s="6">
        <v>1.4</v>
      </c>
      <c r="F19" s="6">
        <v>0.4</v>
      </c>
      <c r="G19" s="9">
        <v>10</v>
      </c>
      <c r="H19" s="11">
        <f t="shared" si="0"/>
        <v>1.264911064067352</v>
      </c>
      <c r="I19" s="16">
        <v>14</v>
      </c>
      <c r="J19" s="27" t="s">
        <v>21</v>
      </c>
      <c r="K19" s="21">
        <v>8</v>
      </c>
    </row>
    <row r="20" spans="1:14" ht="15" customHeight="1" x14ac:dyDescent="0.25">
      <c r="B20" s="4" t="s">
        <v>35</v>
      </c>
      <c r="C20" s="9">
        <v>8</v>
      </c>
      <c r="D20" s="4">
        <v>2</v>
      </c>
      <c r="E20" s="6">
        <v>4.9000000000000004</v>
      </c>
      <c r="F20" s="6">
        <v>0.56999999999999995</v>
      </c>
      <c r="G20" s="9">
        <v>10</v>
      </c>
      <c r="H20" s="11">
        <f t="shared" si="0"/>
        <v>1.8024982662959761</v>
      </c>
      <c r="I20" s="16">
        <v>15</v>
      </c>
      <c r="J20" s="27" t="s">
        <v>22</v>
      </c>
      <c r="K20" s="21">
        <v>5</v>
      </c>
    </row>
    <row r="21" spans="1:14" ht="15" customHeight="1" x14ac:dyDescent="0.25">
      <c r="B21" s="4" t="s">
        <v>35</v>
      </c>
      <c r="C21" s="9">
        <v>8</v>
      </c>
      <c r="D21" s="4">
        <v>4</v>
      </c>
      <c r="E21" s="6">
        <v>5.7</v>
      </c>
      <c r="F21" s="6">
        <v>0.34</v>
      </c>
      <c r="G21" s="9">
        <v>10</v>
      </c>
      <c r="H21" s="11">
        <f t="shared" si="0"/>
        <v>1.0751744044572491</v>
      </c>
      <c r="I21" s="16">
        <v>16</v>
      </c>
      <c r="J21" s="27" t="s">
        <v>26</v>
      </c>
      <c r="K21" s="21">
        <v>8</v>
      </c>
    </row>
    <row r="22" spans="1:14" ht="15" customHeight="1" x14ac:dyDescent="0.25">
      <c r="A22" s="4">
        <v>2002</v>
      </c>
      <c r="B22" s="4" t="s">
        <v>36</v>
      </c>
      <c r="C22" s="9">
        <v>9</v>
      </c>
      <c r="D22" s="4">
        <v>1</v>
      </c>
      <c r="E22" s="6">
        <v>3.3</v>
      </c>
      <c r="F22" s="6">
        <v>0.19</v>
      </c>
      <c r="G22" s="9">
        <v>83</v>
      </c>
      <c r="H22" s="11">
        <f t="shared" si="0"/>
        <v>1.7309823800374169</v>
      </c>
      <c r="I22" s="16">
        <v>17</v>
      </c>
      <c r="J22" s="27" t="s">
        <v>23</v>
      </c>
      <c r="K22" s="21">
        <v>5</v>
      </c>
    </row>
    <row r="23" spans="1:14" ht="15" customHeight="1" x14ac:dyDescent="0.25">
      <c r="B23" s="4" t="s">
        <v>36</v>
      </c>
      <c r="C23" s="9">
        <v>9</v>
      </c>
      <c r="D23" s="4">
        <v>2</v>
      </c>
      <c r="E23" s="6">
        <v>3.9</v>
      </c>
      <c r="F23" s="6">
        <v>0.19</v>
      </c>
      <c r="G23" s="9">
        <v>83</v>
      </c>
      <c r="H23" s="11">
        <f t="shared" si="0"/>
        <v>1.7309823800374169</v>
      </c>
      <c r="I23" s="16">
        <v>18</v>
      </c>
      <c r="J23" s="27" t="s">
        <v>24</v>
      </c>
      <c r="K23" s="21">
        <v>6</v>
      </c>
    </row>
    <row r="24" spans="1:14" ht="15" customHeight="1" x14ac:dyDescent="0.25">
      <c r="A24" s="4">
        <v>2002</v>
      </c>
      <c r="B24" s="4" t="s">
        <v>37</v>
      </c>
      <c r="C24" s="9">
        <v>10</v>
      </c>
      <c r="D24" s="4">
        <v>1</v>
      </c>
      <c r="E24" s="6">
        <v>4.5</v>
      </c>
      <c r="F24" s="6">
        <v>0.18</v>
      </c>
      <c r="G24" s="9">
        <v>30</v>
      </c>
      <c r="H24" s="11">
        <f t="shared" si="0"/>
        <v>0.98590060350929898</v>
      </c>
      <c r="I24" s="16">
        <v>19</v>
      </c>
      <c r="J24" s="27" t="s">
        <v>13</v>
      </c>
      <c r="K24" s="21">
        <v>2</v>
      </c>
    </row>
    <row r="25" spans="1:14" ht="15" customHeight="1" x14ac:dyDescent="0.25">
      <c r="B25" s="4" t="s">
        <v>37</v>
      </c>
      <c r="C25" s="9">
        <v>10</v>
      </c>
      <c r="D25" s="4">
        <v>2</v>
      </c>
      <c r="E25" s="6">
        <v>5.0999999999999996</v>
      </c>
      <c r="F25" s="6">
        <v>0.13</v>
      </c>
      <c r="G25" s="9">
        <v>30</v>
      </c>
      <c r="H25" s="11">
        <f t="shared" si="0"/>
        <v>0.71203932475671594</v>
      </c>
      <c r="I25" s="16">
        <v>20</v>
      </c>
      <c r="J25" s="27" t="s">
        <v>25</v>
      </c>
      <c r="K25" s="21">
        <v>1</v>
      </c>
    </row>
    <row r="26" spans="1:14" ht="15" customHeight="1" x14ac:dyDescent="0.25">
      <c r="B26" s="4" t="s">
        <v>37</v>
      </c>
      <c r="C26" s="9">
        <v>10</v>
      </c>
      <c r="D26" s="4">
        <v>4</v>
      </c>
      <c r="E26" s="6">
        <v>6.5</v>
      </c>
      <c r="F26" s="6">
        <v>0.28999999999999998</v>
      </c>
      <c r="G26" s="9">
        <v>30</v>
      </c>
      <c r="H26" s="11">
        <f t="shared" si="0"/>
        <v>1.5883954167649816</v>
      </c>
      <c r="I26" s="16">
        <v>21</v>
      </c>
      <c r="J26" s="27" t="s">
        <v>14</v>
      </c>
      <c r="K26" s="21">
        <v>5</v>
      </c>
    </row>
    <row r="27" spans="1:14" ht="15" customHeight="1" x14ac:dyDescent="0.25">
      <c r="A27" s="4">
        <v>2003</v>
      </c>
      <c r="B27" s="4" t="s">
        <v>37</v>
      </c>
      <c r="C27" s="4">
        <v>11</v>
      </c>
      <c r="D27" s="4">
        <v>2</v>
      </c>
      <c r="E27" s="6">
        <v>5.8</v>
      </c>
      <c r="F27" s="6">
        <v>0.15</v>
      </c>
      <c r="G27" s="9">
        <v>30</v>
      </c>
      <c r="H27" s="11">
        <f t="shared" si="0"/>
        <v>0.82158383625774911</v>
      </c>
      <c r="I27" s="17">
        <v>22</v>
      </c>
      <c r="J27" s="28" t="s">
        <v>15</v>
      </c>
      <c r="K27" s="22">
        <v>8</v>
      </c>
    </row>
    <row r="28" spans="1:14" x14ac:dyDescent="0.25">
      <c r="B28" s="4" t="s">
        <v>37</v>
      </c>
      <c r="C28" s="4">
        <v>11</v>
      </c>
      <c r="D28" s="4">
        <v>3</v>
      </c>
      <c r="E28" s="6">
        <v>6.2</v>
      </c>
      <c r="F28" s="6">
        <v>7.0000000000000007E-2</v>
      </c>
      <c r="G28" s="9">
        <v>30</v>
      </c>
      <c r="H28" s="11">
        <f t="shared" si="0"/>
        <v>0.38340579025361632</v>
      </c>
      <c r="M28"/>
      <c r="N28"/>
    </row>
    <row r="29" spans="1:14" x14ac:dyDescent="0.25">
      <c r="A29" s="4">
        <v>2007</v>
      </c>
      <c r="B29" s="4" t="s">
        <v>38</v>
      </c>
      <c r="C29" s="4">
        <v>12</v>
      </c>
      <c r="D29" s="4">
        <v>2</v>
      </c>
      <c r="E29" s="6">
        <v>5.6</v>
      </c>
      <c r="F29" s="6">
        <v>0.45</v>
      </c>
      <c r="G29" s="9">
        <v>14</v>
      </c>
      <c r="H29" s="11">
        <f t="shared" si="0"/>
        <v>1.6837458240482737</v>
      </c>
      <c r="I29" s="23" t="s">
        <v>84</v>
      </c>
      <c r="J29" s="24" t="s">
        <v>80</v>
      </c>
      <c r="M29"/>
      <c r="N29"/>
    </row>
    <row r="30" spans="1:14" x14ac:dyDescent="0.25">
      <c r="B30" s="4" t="s">
        <v>38</v>
      </c>
      <c r="C30" s="4">
        <v>12</v>
      </c>
      <c r="D30" s="4">
        <v>3</v>
      </c>
      <c r="E30" s="6">
        <v>5.0999999999999996</v>
      </c>
      <c r="F30" s="6">
        <v>0.47</v>
      </c>
      <c r="G30" s="9">
        <v>13</v>
      </c>
      <c r="H30" s="11">
        <f t="shared" si="0"/>
        <v>1.6946090994680747</v>
      </c>
      <c r="I30" s="14">
        <v>1</v>
      </c>
      <c r="J30" s="14" t="s">
        <v>85</v>
      </c>
      <c r="L30"/>
      <c r="M30"/>
      <c r="N30"/>
    </row>
    <row r="31" spans="1:14" x14ac:dyDescent="0.25">
      <c r="A31" s="4">
        <v>2009</v>
      </c>
      <c r="B31" s="4" t="s">
        <v>39</v>
      </c>
      <c r="C31" s="4">
        <v>13</v>
      </c>
      <c r="D31" s="4">
        <v>1</v>
      </c>
      <c r="E31" s="6">
        <v>4.2</v>
      </c>
      <c r="F31" s="6">
        <v>0.41</v>
      </c>
      <c r="G31" s="9">
        <v>15</v>
      </c>
      <c r="H31" s="11">
        <f t="shared" si="0"/>
        <v>1.5879231719450408</v>
      </c>
      <c r="I31" s="14">
        <v>2</v>
      </c>
      <c r="J31" s="14" t="s">
        <v>74</v>
      </c>
      <c r="L31"/>
      <c r="M31"/>
      <c r="N31"/>
    </row>
    <row r="32" spans="1:14" x14ac:dyDescent="0.25">
      <c r="B32" s="4" t="s">
        <v>39</v>
      </c>
      <c r="C32" s="4">
        <v>13</v>
      </c>
      <c r="D32" s="4">
        <v>2</v>
      </c>
      <c r="E32" s="6">
        <v>3.9</v>
      </c>
      <c r="F32" s="6">
        <v>0.26</v>
      </c>
      <c r="G32" s="9">
        <v>15</v>
      </c>
      <c r="H32" s="11">
        <f t="shared" si="0"/>
        <v>1.0069756700139285</v>
      </c>
      <c r="I32" s="14">
        <v>3</v>
      </c>
      <c r="J32" s="14" t="s">
        <v>75</v>
      </c>
      <c r="L32"/>
      <c r="M32"/>
      <c r="N32"/>
    </row>
    <row r="33" spans="1:14" x14ac:dyDescent="0.25">
      <c r="A33" s="4">
        <v>2010</v>
      </c>
      <c r="B33" s="4" t="s">
        <v>40</v>
      </c>
      <c r="C33" s="4">
        <v>14</v>
      </c>
      <c r="D33" s="4">
        <v>2</v>
      </c>
      <c r="E33" s="6">
        <v>4.5999999999999996</v>
      </c>
      <c r="F33" s="6">
        <v>0.09</v>
      </c>
      <c r="G33" s="9">
        <v>20</v>
      </c>
      <c r="H33" s="11">
        <f t="shared" si="0"/>
        <v>0.40249223594996214</v>
      </c>
      <c r="I33" s="14">
        <v>4</v>
      </c>
      <c r="J33" s="14" t="s">
        <v>16</v>
      </c>
      <c r="L33"/>
      <c r="M33"/>
      <c r="N33"/>
    </row>
    <row r="34" spans="1:14" x14ac:dyDescent="0.25">
      <c r="B34" s="4" t="s">
        <v>40</v>
      </c>
      <c r="C34" s="4">
        <v>14</v>
      </c>
      <c r="D34" s="4">
        <v>3</v>
      </c>
      <c r="E34" s="31">
        <v>5.6</v>
      </c>
      <c r="F34" s="31">
        <v>0.2</v>
      </c>
      <c r="G34" s="9">
        <v>20</v>
      </c>
      <c r="H34" s="11">
        <f t="shared" si="0"/>
        <v>0.89442719099991597</v>
      </c>
      <c r="I34" s="14">
        <v>5</v>
      </c>
      <c r="J34" s="14" t="s">
        <v>76</v>
      </c>
      <c r="L34"/>
      <c r="M34"/>
      <c r="N34"/>
    </row>
    <row r="35" spans="1:14" x14ac:dyDescent="0.25">
      <c r="A35" s="4">
        <v>2008</v>
      </c>
      <c r="B35" s="4" t="s">
        <v>73</v>
      </c>
      <c r="C35" s="4">
        <v>15</v>
      </c>
      <c r="D35" s="4">
        <v>2</v>
      </c>
      <c r="E35" s="31">
        <v>3.5</v>
      </c>
      <c r="F35" s="31">
        <v>0.3</v>
      </c>
      <c r="G35" s="9">
        <v>19</v>
      </c>
      <c r="H35" s="11">
        <f t="shared" si="0"/>
        <v>1.3076696830622021</v>
      </c>
      <c r="I35" s="14">
        <v>6</v>
      </c>
      <c r="J35" s="14" t="s">
        <v>78</v>
      </c>
      <c r="L35"/>
      <c r="M35"/>
      <c r="N35"/>
    </row>
    <row r="36" spans="1:14" x14ac:dyDescent="0.25">
      <c r="B36" s="4" t="s">
        <v>73</v>
      </c>
      <c r="C36" s="4">
        <v>15</v>
      </c>
      <c r="D36" s="4">
        <v>4</v>
      </c>
      <c r="E36" s="31">
        <v>3.7</v>
      </c>
      <c r="F36" s="31">
        <v>0.27</v>
      </c>
      <c r="G36" s="9">
        <v>19</v>
      </c>
      <c r="H36" s="11">
        <f t="shared" si="0"/>
        <v>1.1769027147559821</v>
      </c>
      <c r="I36" s="14">
        <v>7</v>
      </c>
      <c r="J36" s="14" t="s">
        <v>77</v>
      </c>
      <c r="L36"/>
      <c r="M36"/>
      <c r="N36"/>
    </row>
    <row r="37" spans="1:14" x14ac:dyDescent="0.25">
      <c r="A37" s="4">
        <v>2003</v>
      </c>
      <c r="B37" s="4" t="s">
        <v>35</v>
      </c>
      <c r="C37" s="4">
        <v>16</v>
      </c>
      <c r="D37" s="4">
        <v>2</v>
      </c>
      <c r="E37" s="6">
        <v>5.3</v>
      </c>
      <c r="F37" s="6">
        <v>0.27</v>
      </c>
      <c r="G37" s="9">
        <v>48</v>
      </c>
      <c r="H37" s="11">
        <f t="shared" si="0"/>
        <v>1.8706148721743876</v>
      </c>
      <c r="I37" s="14">
        <v>8</v>
      </c>
      <c r="J37" s="14" t="s">
        <v>79</v>
      </c>
      <c r="L37"/>
      <c r="M37"/>
      <c r="N37"/>
    </row>
    <row r="38" spans="1:14" x14ac:dyDescent="0.25">
      <c r="B38" s="4" t="s">
        <v>35</v>
      </c>
      <c r="C38" s="4">
        <v>16</v>
      </c>
      <c r="D38" s="4">
        <v>4</v>
      </c>
      <c r="E38" s="6">
        <v>5.6</v>
      </c>
      <c r="F38" s="6">
        <v>0.22</v>
      </c>
      <c r="G38" s="9">
        <v>48</v>
      </c>
      <c r="H38" s="11">
        <f t="shared" si="0"/>
        <v>1.524204710660612</v>
      </c>
      <c r="K38"/>
      <c r="L38"/>
      <c r="M38"/>
      <c r="N38"/>
    </row>
    <row r="39" spans="1:14" x14ac:dyDescent="0.25">
      <c r="A39" s="4">
        <v>2004</v>
      </c>
      <c r="B39" s="4" t="s">
        <v>41</v>
      </c>
      <c r="C39" s="4">
        <v>17</v>
      </c>
      <c r="D39" s="4">
        <v>2</v>
      </c>
      <c r="E39" s="6">
        <v>3.8</v>
      </c>
      <c r="F39" s="6">
        <v>0.25</v>
      </c>
      <c r="G39" s="9">
        <v>35</v>
      </c>
      <c r="H39" s="11">
        <f t="shared" si="0"/>
        <v>1.479019945774904</v>
      </c>
      <c r="K39"/>
      <c r="L39"/>
      <c r="M39"/>
      <c r="N39"/>
    </row>
    <row r="40" spans="1:14" x14ac:dyDescent="0.25">
      <c r="B40" s="4" t="s">
        <v>42</v>
      </c>
      <c r="C40" s="4">
        <v>17</v>
      </c>
      <c r="D40" s="4">
        <v>4</v>
      </c>
      <c r="E40" s="6">
        <v>3.3</v>
      </c>
      <c r="F40" s="6">
        <v>0.27</v>
      </c>
      <c r="G40" s="9">
        <v>32</v>
      </c>
      <c r="H40" s="11">
        <f t="shared" si="0"/>
        <v>1.5273506473629428</v>
      </c>
      <c r="K40"/>
      <c r="L40"/>
      <c r="M40"/>
      <c r="N40"/>
    </row>
    <row r="41" spans="1:14" x14ac:dyDescent="0.25">
      <c r="A41" s="4">
        <v>2004</v>
      </c>
      <c r="B41" s="4" t="s">
        <v>43</v>
      </c>
      <c r="C41" s="4">
        <v>18</v>
      </c>
      <c r="D41" s="4">
        <v>1</v>
      </c>
      <c r="E41" s="6">
        <v>3.2</v>
      </c>
      <c r="F41" s="6">
        <v>0.19</v>
      </c>
      <c r="G41" s="9">
        <v>62</v>
      </c>
      <c r="H41" s="11">
        <f t="shared" si="0"/>
        <v>1.496061496062244</v>
      </c>
      <c r="K41"/>
      <c r="L41"/>
      <c r="M41"/>
      <c r="N41"/>
    </row>
    <row r="42" spans="1:14" x14ac:dyDescent="0.25">
      <c r="B42" s="4" t="s">
        <v>36</v>
      </c>
      <c r="C42" s="4">
        <v>18</v>
      </c>
      <c r="D42" s="4">
        <v>5</v>
      </c>
      <c r="E42" s="6">
        <v>3.7</v>
      </c>
      <c r="F42" s="6">
        <v>0.23</v>
      </c>
      <c r="G42" s="9">
        <v>62</v>
      </c>
      <c r="H42" s="11">
        <f t="shared" si="0"/>
        <v>1.8110218110227165</v>
      </c>
      <c r="K42"/>
      <c r="L42"/>
    </row>
    <row r="43" spans="1:14" x14ac:dyDescent="0.25">
      <c r="A43" s="4">
        <v>2001</v>
      </c>
      <c r="B43" s="4" t="s">
        <v>44</v>
      </c>
      <c r="C43" s="4">
        <v>19</v>
      </c>
      <c r="D43" s="4">
        <v>1</v>
      </c>
      <c r="E43" s="6">
        <v>3.6</v>
      </c>
      <c r="F43" s="6">
        <v>0.28999999999999998</v>
      </c>
      <c r="G43" s="9">
        <v>54</v>
      </c>
      <c r="H43" s="11">
        <f t="shared" si="0"/>
        <v>2.1310560762213648</v>
      </c>
      <c r="K43"/>
      <c r="L43"/>
    </row>
    <row r="44" spans="1:14" x14ac:dyDescent="0.25">
      <c r="B44" s="4" t="s">
        <v>44</v>
      </c>
      <c r="C44" s="4">
        <v>19</v>
      </c>
      <c r="D44" s="4">
        <v>4</v>
      </c>
      <c r="E44" s="6">
        <v>4.4000000000000004</v>
      </c>
      <c r="F44" s="6">
        <v>0.32</v>
      </c>
      <c r="G44" s="9">
        <v>55</v>
      </c>
      <c r="H44" s="11">
        <f t="shared" si="0"/>
        <v>2.373183515870612</v>
      </c>
    </row>
    <row r="45" spans="1:14" x14ac:dyDescent="0.25">
      <c r="A45" s="4">
        <v>1998</v>
      </c>
      <c r="B45" s="4" t="s">
        <v>45</v>
      </c>
      <c r="C45" s="4">
        <v>20</v>
      </c>
      <c r="D45" s="4">
        <v>1</v>
      </c>
      <c r="E45" s="6">
        <v>2.5</v>
      </c>
      <c r="F45" s="6">
        <v>0.45</v>
      </c>
      <c r="G45" s="9">
        <v>18</v>
      </c>
      <c r="H45" s="11">
        <f t="shared" si="0"/>
        <v>1.9091883092036781</v>
      </c>
    </row>
    <row r="46" spans="1:14" x14ac:dyDescent="0.25">
      <c r="B46" s="4" t="s">
        <v>45</v>
      </c>
      <c r="C46" s="4">
        <v>20</v>
      </c>
      <c r="D46" s="4">
        <v>4</v>
      </c>
      <c r="E46" s="6">
        <v>2.9</v>
      </c>
      <c r="F46" s="6">
        <v>0.4</v>
      </c>
      <c r="G46" s="9">
        <v>20</v>
      </c>
      <c r="H46" s="11">
        <f t="shared" si="0"/>
        <v>1.7888543819998319</v>
      </c>
    </row>
    <row r="47" spans="1:14" x14ac:dyDescent="0.25">
      <c r="A47" s="32">
        <v>1998</v>
      </c>
      <c r="B47" s="32" t="s">
        <v>44</v>
      </c>
      <c r="C47" s="32">
        <v>21</v>
      </c>
      <c r="D47" s="32">
        <v>1</v>
      </c>
      <c r="E47" s="33">
        <v>3</v>
      </c>
      <c r="F47" s="33">
        <v>0.31</v>
      </c>
      <c r="G47" s="34">
        <v>23</v>
      </c>
      <c r="H47" s="11">
        <f t="shared" si="0"/>
        <v>1.4867077722269428</v>
      </c>
    </row>
    <row r="48" spans="1:14" x14ac:dyDescent="0.25">
      <c r="A48" s="32"/>
      <c r="B48" s="32" t="s">
        <v>44</v>
      </c>
      <c r="C48" s="32">
        <v>21</v>
      </c>
      <c r="D48" s="32">
        <v>4</v>
      </c>
      <c r="E48" s="33">
        <v>4.3</v>
      </c>
      <c r="F48" s="33">
        <v>0.48</v>
      </c>
      <c r="G48" s="34">
        <v>23</v>
      </c>
      <c r="H48" s="11">
        <f t="shared" si="0"/>
        <v>2.3019991311901049</v>
      </c>
    </row>
    <row r="49" spans="1:8" x14ac:dyDescent="0.25">
      <c r="A49" s="4">
        <v>1998</v>
      </c>
      <c r="B49" s="4" t="s">
        <v>36</v>
      </c>
      <c r="C49" s="4">
        <v>22</v>
      </c>
      <c r="D49" s="4">
        <v>1</v>
      </c>
      <c r="E49" s="6">
        <v>3.09</v>
      </c>
      <c r="F49" s="6">
        <v>0.2</v>
      </c>
      <c r="G49" s="9">
        <v>71</v>
      </c>
      <c r="H49" s="11">
        <f t="shared" si="0"/>
        <v>1.6852299546352718</v>
      </c>
    </row>
    <row r="50" spans="1:8" x14ac:dyDescent="0.25">
      <c r="B50" s="4" t="s">
        <v>36</v>
      </c>
      <c r="C50" s="4">
        <v>22</v>
      </c>
      <c r="D50" s="4">
        <v>4</v>
      </c>
      <c r="E50" s="6">
        <v>4.03</v>
      </c>
      <c r="F50" s="6">
        <v>0.21</v>
      </c>
      <c r="G50" s="9">
        <v>72</v>
      </c>
      <c r="H50" s="11">
        <f t="shared" si="0"/>
        <v>1.7819090885900994</v>
      </c>
    </row>
    <row r="51" spans="1:8" x14ac:dyDescent="0.25">
      <c r="A51" s="4" t="s">
        <v>46</v>
      </c>
      <c r="B51" s="4" t="s">
        <v>50</v>
      </c>
      <c r="C51" s="4">
        <v>23</v>
      </c>
      <c r="D51" s="4">
        <v>5</v>
      </c>
      <c r="E51" s="6">
        <v>5.7</v>
      </c>
      <c r="F51" s="6">
        <v>0.35</v>
      </c>
      <c r="G51" s="9">
        <v>12</v>
      </c>
      <c r="H51" s="11">
        <f t="shared" si="0"/>
        <v>1.2124355652982139</v>
      </c>
    </row>
    <row r="52" spans="1:8" x14ac:dyDescent="0.25">
      <c r="B52" s="4" t="s">
        <v>50</v>
      </c>
      <c r="C52" s="4">
        <v>23</v>
      </c>
      <c r="D52" s="4">
        <v>8</v>
      </c>
      <c r="E52" s="6">
        <v>5.5</v>
      </c>
      <c r="F52" s="6">
        <v>0.35</v>
      </c>
      <c r="G52" s="9">
        <v>12</v>
      </c>
      <c r="H52" s="11">
        <f t="shared" si="0"/>
        <v>1.2124355652982139</v>
      </c>
    </row>
    <row r="53" spans="1:8" x14ac:dyDescent="0.25">
      <c r="A53" s="4" t="s">
        <v>47</v>
      </c>
      <c r="B53" s="4" t="s">
        <v>50</v>
      </c>
      <c r="C53" s="4">
        <v>24</v>
      </c>
      <c r="D53" s="4">
        <v>5</v>
      </c>
      <c r="E53" s="6">
        <v>5.4</v>
      </c>
      <c r="F53" s="6">
        <v>0.19</v>
      </c>
      <c r="G53" s="9">
        <v>14</v>
      </c>
      <c r="H53" s="11">
        <f t="shared" si="0"/>
        <v>0.71091490348704889</v>
      </c>
    </row>
    <row r="54" spans="1:8" x14ac:dyDescent="0.25">
      <c r="B54" s="4" t="s">
        <v>50</v>
      </c>
      <c r="C54" s="4">
        <v>24</v>
      </c>
      <c r="D54" s="4">
        <v>8</v>
      </c>
      <c r="E54" s="6">
        <v>5.8</v>
      </c>
      <c r="F54" s="6">
        <v>0.16</v>
      </c>
      <c r="G54" s="9">
        <v>14</v>
      </c>
      <c r="H54" s="11">
        <f t="shared" si="0"/>
        <v>0.59866518188383067</v>
      </c>
    </row>
    <row r="55" spans="1:8" x14ac:dyDescent="0.25">
      <c r="A55" s="4" t="s">
        <v>48</v>
      </c>
      <c r="B55" s="4" t="s">
        <v>50</v>
      </c>
      <c r="C55" s="4">
        <v>25</v>
      </c>
      <c r="D55" s="4">
        <v>5</v>
      </c>
      <c r="E55" s="6">
        <v>5.5</v>
      </c>
      <c r="F55" s="6">
        <v>0.44</v>
      </c>
      <c r="G55" s="9">
        <v>15</v>
      </c>
      <c r="H55" s="11">
        <f t="shared" si="0"/>
        <v>1.7041126723312634</v>
      </c>
    </row>
    <row r="56" spans="1:8" x14ac:dyDescent="0.25">
      <c r="B56" s="4" t="s">
        <v>50</v>
      </c>
      <c r="C56" s="4">
        <v>25</v>
      </c>
      <c r="D56" s="4">
        <v>8</v>
      </c>
      <c r="E56" s="6">
        <v>5.5</v>
      </c>
      <c r="F56" s="6">
        <v>0.34</v>
      </c>
      <c r="G56" s="9">
        <v>15</v>
      </c>
      <c r="H56" s="11">
        <f t="shared" si="0"/>
        <v>1.3168143377105219</v>
      </c>
    </row>
    <row r="57" spans="1:8" x14ac:dyDescent="0.25">
      <c r="A57" s="4" t="s">
        <v>49</v>
      </c>
      <c r="B57" s="4" t="s">
        <v>27</v>
      </c>
      <c r="C57" s="4">
        <v>26</v>
      </c>
      <c r="D57" s="4">
        <v>1</v>
      </c>
      <c r="E57" s="6">
        <v>3.6</v>
      </c>
      <c r="F57" s="6">
        <v>0.33</v>
      </c>
      <c r="G57" s="9">
        <v>16</v>
      </c>
      <c r="H57" s="11">
        <f t="shared" si="0"/>
        <v>1.32</v>
      </c>
    </row>
    <row r="58" spans="1:8" x14ac:dyDescent="0.25">
      <c r="B58" s="4" t="s">
        <v>27</v>
      </c>
      <c r="C58" s="4">
        <v>26</v>
      </c>
      <c r="D58" s="4">
        <v>5</v>
      </c>
      <c r="E58" s="6">
        <v>5.4</v>
      </c>
      <c r="F58" s="6">
        <v>0.23</v>
      </c>
      <c r="G58" s="9">
        <v>16</v>
      </c>
      <c r="H58" s="11">
        <f t="shared" si="0"/>
        <v>0.92</v>
      </c>
    </row>
    <row r="59" spans="1:8" x14ac:dyDescent="0.25">
      <c r="A59" s="4">
        <v>2003</v>
      </c>
      <c r="B59" s="4" t="s">
        <v>27</v>
      </c>
      <c r="C59" s="4">
        <v>27</v>
      </c>
      <c r="D59" s="4">
        <v>1</v>
      </c>
      <c r="E59" s="6">
        <v>3.8</v>
      </c>
      <c r="F59" s="6">
        <v>0.48</v>
      </c>
      <c r="G59" s="9">
        <v>14</v>
      </c>
      <c r="H59" s="11">
        <f t="shared" si="0"/>
        <v>1.7959955456514918</v>
      </c>
    </row>
    <row r="60" spans="1:8" x14ac:dyDescent="0.25">
      <c r="B60" s="4" t="s">
        <v>27</v>
      </c>
      <c r="C60" s="4">
        <v>27</v>
      </c>
      <c r="D60" s="4">
        <v>5</v>
      </c>
      <c r="E60" s="6">
        <v>5.3</v>
      </c>
      <c r="F60" s="6">
        <v>0.43</v>
      </c>
      <c r="G60" s="9">
        <v>14</v>
      </c>
      <c r="H60" s="11">
        <f t="shared" si="0"/>
        <v>1.6089126763127948</v>
      </c>
    </row>
    <row r="61" spans="1:8" x14ac:dyDescent="0.25">
      <c r="A61" s="4">
        <v>2000</v>
      </c>
      <c r="B61" s="4" t="s">
        <v>51</v>
      </c>
      <c r="C61" s="4">
        <v>28</v>
      </c>
      <c r="D61" s="4">
        <v>4</v>
      </c>
      <c r="E61" s="6">
        <v>4.12</v>
      </c>
      <c r="F61" s="6">
        <v>0.22</v>
      </c>
      <c r="G61" s="9">
        <v>14</v>
      </c>
      <c r="H61" s="11">
        <f t="shared" si="0"/>
        <v>0.82316462509026711</v>
      </c>
    </row>
    <row r="62" spans="1:8" x14ac:dyDescent="0.25">
      <c r="B62" s="4" t="s">
        <v>52</v>
      </c>
      <c r="C62" s="4">
        <v>28</v>
      </c>
      <c r="D62" s="4">
        <v>5</v>
      </c>
      <c r="E62" s="6">
        <v>3.37</v>
      </c>
      <c r="F62" s="6">
        <v>0.28999999999999998</v>
      </c>
      <c r="G62" s="9">
        <v>16</v>
      </c>
      <c r="H62" s="11">
        <f t="shared" si="0"/>
        <v>1.1599999999999999</v>
      </c>
    </row>
    <row r="63" spans="1:8" x14ac:dyDescent="0.25">
      <c r="A63" s="4">
        <v>2008</v>
      </c>
      <c r="B63" s="4" t="s">
        <v>53</v>
      </c>
      <c r="C63" s="4">
        <v>29</v>
      </c>
      <c r="D63" s="4">
        <v>1</v>
      </c>
      <c r="E63" s="6">
        <v>2.8</v>
      </c>
      <c r="F63" s="6">
        <v>0.18</v>
      </c>
      <c r="G63" s="9">
        <v>17</v>
      </c>
      <c r="H63" s="11">
        <f t="shared" si="0"/>
        <v>0.74215901261117889</v>
      </c>
    </row>
    <row r="64" spans="1:8" x14ac:dyDescent="0.25">
      <c r="B64" s="4" t="s">
        <v>53</v>
      </c>
      <c r="C64" s="4">
        <v>29</v>
      </c>
      <c r="D64" s="4">
        <v>4</v>
      </c>
      <c r="E64" s="6">
        <v>5.2</v>
      </c>
      <c r="F64" s="6">
        <v>0.26</v>
      </c>
      <c r="G64" s="9">
        <v>17</v>
      </c>
      <c r="H64" s="11">
        <f t="shared" si="0"/>
        <v>1.0720074626605918</v>
      </c>
    </row>
    <row r="65" spans="1:8" x14ac:dyDescent="0.25">
      <c r="A65" s="4">
        <v>1996</v>
      </c>
      <c r="B65" s="4" t="s">
        <v>44</v>
      </c>
      <c r="C65" s="4">
        <v>30</v>
      </c>
      <c r="D65" s="4">
        <v>1</v>
      </c>
      <c r="E65" s="6">
        <v>4.3</v>
      </c>
      <c r="F65" s="6">
        <v>0.5</v>
      </c>
      <c r="G65" s="9">
        <v>12</v>
      </c>
      <c r="H65" s="11">
        <f t="shared" si="0"/>
        <v>1.7320508075688772</v>
      </c>
    </row>
    <row r="66" spans="1:8" x14ac:dyDescent="0.25">
      <c r="B66" s="4" t="s">
        <v>44</v>
      </c>
      <c r="C66" s="4">
        <v>30</v>
      </c>
      <c r="D66" s="4">
        <v>4</v>
      </c>
      <c r="E66" s="6">
        <v>6.2</v>
      </c>
      <c r="F66" s="6">
        <v>0.35</v>
      </c>
      <c r="G66" s="9">
        <v>24</v>
      </c>
      <c r="H66" s="11">
        <f t="shared" si="0"/>
        <v>1.7146428199482244</v>
      </c>
    </row>
    <row r="67" spans="1:8" x14ac:dyDescent="0.25">
      <c r="A67" s="4">
        <v>1995</v>
      </c>
      <c r="B67" s="4" t="s">
        <v>44</v>
      </c>
      <c r="C67" s="4">
        <v>31</v>
      </c>
      <c r="D67" s="4">
        <v>1</v>
      </c>
      <c r="E67" s="6">
        <v>4.5999999999999996</v>
      </c>
      <c r="F67" s="6">
        <v>0.45</v>
      </c>
      <c r="G67" s="9">
        <v>15</v>
      </c>
      <c r="H67" s="11">
        <f t="shared" ref="H67:H111" si="1">F67*SQRT(G67)</f>
        <v>1.7428425057933377</v>
      </c>
    </row>
    <row r="68" spans="1:8" x14ac:dyDescent="0.25">
      <c r="B68" s="4" t="s">
        <v>44</v>
      </c>
      <c r="C68" s="4">
        <v>31</v>
      </c>
      <c r="D68" s="4">
        <v>4</v>
      </c>
      <c r="E68" s="6">
        <v>5.9</v>
      </c>
      <c r="F68" s="6">
        <v>0.4</v>
      </c>
      <c r="G68" s="9">
        <v>30</v>
      </c>
      <c r="H68" s="11">
        <f t="shared" si="1"/>
        <v>2.1908902300206647</v>
      </c>
    </row>
    <row r="69" spans="1:8" x14ac:dyDescent="0.25">
      <c r="A69" s="4">
        <v>2003</v>
      </c>
      <c r="B69" s="4" t="s">
        <v>54</v>
      </c>
      <c r="C69" s="4">
        <v>32</v>
      </c>
      <c r="D69" s="4">
        <v>1</v>
      </c>
      <c r="E69" s="6">
        <v>2.9</v>
      </c>
      <c r="F69" s="6">
        <v>0.45</v>
      </c>
      <c r="G69" s="9">
        <v>15</v>
      </c>
      <c r="H69" s="11">
        <f t="shared" si="1"/>
        <v>1.7428425057933377</v>
      </c>
    </row>
    <row r="70" spans="1:8" x14ac:dyDescent="0.25">
      <c r="B70" s="4" t="s">
        <v>54</v>
      </c>
      <c r="C70" s="4">
        <v>32</v>
      </c>
      <c r="D70" s="4">
        <v>4</v>
      </c>
      <c r="E70" s="6">
        <v>3.9</v>
      </c>
      <c r="F70" s="6">
        <v>0.42</v>
      </c>
      <c r="G70" s="9">
        <v>14</v>
      </c>
      <c r="H70" s="11">
        <f t="shared" si="1"/>
        <v>1.5714961024450553</v>
      </c>
    </row>
    <row r="71" spans="1:8" x14ac:dyDescent="0.25">
      <c r="B71" s="4" t="s">
        <v>54</v>
      </c>
      <c r="C71" s="4">
        <v>32</v>
      </c>
      <c r="D71" s="4">
        <v>5</v>
      </c>
      <c r="E71" s="6">
        <v>3.8</v>
      </c>
      <c r="F71" s="6">
        <v>0.39</v>
      </c>
      <c r="G71" s="9">
        <v>15</v>
      </c>
      <c r="H71" s="11">
        <f t="shared" si="1"/>
        <v>1.5104635050208928</v>
      </c>
    </row>
    <row r="72" spans="1:8" x14ac:dyDescent="0.25">
      <c r="A72" s="35">
        <v>2011</v>
      </c>
      <c r="B72" s="4" t="s">
        <v>44</v>
      </c>
      <c r="C72" s="4">
        <v>33</v>
      </c>
      <c r="D72" s="4">
        <v>1</v>
      </c>
      <c r="E72" s="6">
        <v>4.4000000000000004</v>
      </c>
      <c r="F72" s="6">
        <v>0.41</v>
      </c>
      <c r="G72" s="9">
        <v>15</v>
      </c>
      <c r="H72" s="11">
        <f t="shared" si="1"/>
        <v>1.5879231719450408</v>
      </c>
    </row>
    <row r="73" spans="1:8" x14ac:dyDescent="0.25">
      <c r="B73" s="4" t="s">
        <v>44</v>
      </c>
      <c r="C73" s="4">
        <v>33</v>
      </c>
      <c r="D73" s="4">
        <v>2</v>
      </c>
      <c r="E73" s="6">
        <v>4.4000000000000004</v>
      </c>
      <c r="F73" s="6">
        <v>0.31</v>
      </c>
      <c r="G73" s="9">
        <v>15</v>
      </c>
      <c r="H73" s="11">
        <f t="shared" si="1"/>
        <v>1.2006248373242994</v>
      </c>
    </row>
    <row r="74" spans="1:8" x14ac:dyDescent="0.25">
      <c r="B74" s="4" t="s">
        <v>44</v>
      </c>
      <c r="C74" s="4">
        <v>33</v>
      </c>
      <c r="D74" s="4">
        <v>3</v>
      </c>
      <c r="E74" s="6">
        <v>4</v>
      </c>
      <c r="F74" s="6">
        <v>0.33</v>
      </c>
      <c r="G74" s="9">
        <v>15</v>
      </c>
      <c r="H74" s="11">
        <f t="shared" si="1"/>
        <v>1.2780845042484477</v>
      </c>
    </row>
    <row r="75" spans="1:8" x14ac:dyDescent="0.25">
      <c r="A75" s="4">
        <v>2011</v>
      </c>
      <c r="B75" s="4" t="s">
        <v>55</v>
      </c>
      <c r="C75" s="4">
        <v>34</v>
      </c>
      <c r="D75" s="4">
        <v>2</v>
      </c>
      <c r="E75" s="6">
        <v>2.9</v>
      </c>
      <c r="F75" s="6">
        <v>0.47</v>
      </c>
      <c r="G75" s="9">
        <v>20</v>
      </c>
      <c r="H75" s="11">
        <f t="shared" si="1"/>
        <v>2.1019038988498022</v>
      </c>
    </row>
    <row r="76" spans="1:8" x14ac:dyDescent="0.25">
      <c r="B76" s="4" t="s">
        <v>55</v>
      </c>
      <c r="C76" s="4">
        <v>34</v>
      </c>
      <c r="D76" s="4">
        <v>4</v>
      </c>
      <c r="E76" s="6">
        <v>5.5</v>
      </c>
      <c r="F76" s="6">
        <v>0.22</v>
      </c>
      <c r="G76" s="9">
        <v>20</v>
      </c>
      <c r="H76" s="11">
        <f t="shared" si="1"/>
        <v>0.98386991009990754</v>
      </c>
    </row>
    <row r="77" spans="1:8" x14ac:dyDescent="0.25">
      <c r="A77" s="4">
        <v>2011</v>
      </c>
      <c r="B77" s="4" t="s">
        <v>56</v>
      </c>
      <c r="C77" s="4">
        <v>35</v>
      </c>
      <c r="D77" s="4">
        <v>2</v>
      </c>
      <c r="E77" s="13">
        <v>2.9</v>
      </c>
      <c r="F77" s="13">
        <v>0.3</v>
      </c>
      <c r="G77" s="9">
        <v>35</v>
      </c>
      <c r="H77" s="11">
        <f t="shared" si="1"/>
        <v>1.7748239349298849</v>
      </c>
    </row>
    <row r="78" spans="1:8" x14ac:dyDescent="0.25">
      <c r="B78" s="4" t="s">
        <v>56</v>
      </c>
      <c r="C78" s="4">
        <v>35</v>
      </c>
      <c r="D78" s="4">
        <v>3</v>
      </c>
      <c r="E78" s="13">
        <v>2.8</v>
      </c>
      <c r="F78" s="13">
        <v>0.34</v>
      </c>
      <c r="G78" s="9">
        <v>38</v>
      </c>
      <c r="H78" s="11">
        <f t="shared" si="1"/>
        <v>2.0959007610094518</v>
      </c>
    </row>
    <row r="79" spans="1:8" x14ac:dyDescent="0.25">
      <c r="A79" s="4">
        <v>1990</v>
      </c>
      <c r="B79" s="4" t="s">
        <v>57</v>
      </c>
      <c r="C79" s="4">
        <v>36</v>
      </c>
      <c r="D79" s="4">
        <v>1</v>
      </c>
      <c r="E79" s="6">
        <v>1.51</v>
      </c>
      <c r="F79" s="6">
        <v>0.2</v>
      </c>
      <c r="G79" s="9">
        <v>10</v>
      </c>
      <c r="H79" s="11">
        <f t="shared" si="1"/>
        <v>0.63245553203367599</v>
      </c>
    </row>
    <row r="80" spans="1:8" x14ac:dyDescent="0.25">
      <c r="B80" s="4" t="s">
        <v>57</v>
      </c>
      <c r="C80" s="4">
        <v>36</v>
      </c>
      <c r="D80" s="4">
        <v>4</v>
      </c>
      <c r="E80" s="6">
        <v>1.99</v>
      </c>
      <c r="F80" s="6">
        <v>0.1</v>
      </c>
      <c r="G80" s="9">
        <v>10</v>
      </c>
      <c r="H80" s="11">
        <f t="shared" si="1"/>
        <v>0.316227766016838</v>
      </c>
    </row>
    <row r="81" spans="1:8" x14ac:dyDescent="0.25">
      <c r="B81" s="4" t="s">
        <v>57</v>
      </c>
      <c r="C81" s="4">
        <v>36</v>
      </c>
      <c r="D81" s="4">
        <v>5</v>
      </c>
      <c r="E81" s="6">
        <v>2.73</v>
      </c>
      <c r="F81" s="6">
        <v>0.1</v>
      </c>
      <c r="G81" s="9">
        <v>10</v>
      </c>
      <c r="H81" s="11">
        <f t="shared" si="1"/>
        <v>0.316227766016838</v>
      </c>
    </row>
    <row r="82" spans="1:8" x14ac:dyDescent="0.25">
      <c r="A82" s="4">
        <v>2005</v>
      </c>
      <c r="B82" s="4" t="s">
        <v>58</v>
      </c>
      <c r="C82" s="4">
        <v>37</v>
      </c>
      <c r="D82" s="4">
        <v>2</v>
      </c>
      <c r="E82" s="6">
        <v>2.86</v>
      </c>
      <c r="F82" s="6">
        <v>0.23</v>
      </c>
      <c r="G82" s="9">
        <v>11</v>
      </c>
      <c r="H82" s="11">
        <f t="shared" si="1"/>
        <v>0.76282370178174197</v>
      </c>
    </row>
    <row r="83" spans="1:8" x14ac:dyDescent="0.25">
      <c r="B83" s="4" t="s">
        <v>58</v>
      </c>
      <c r="C83" s="4">
        <v>37</v>
      </c>
      <c r="D83" s="4">
        <v>6</v>
      </c>
      <c r="E83" s="6">
        <v>3.02</v>
      </c>
      <c r="F83" s="6">
        <v>0.47</v>
      </c>
      <c r="G83" s="9">
        <v>11</v>
      </c>
      <c r="H83" s="11">
        <f t="shared" si="1"/>
        <v>1.5588136514670379</v>
      </c>
    </row>
    <row r="84" spans="1:8" x14ac:dyDescent="0.25">
      <c r="A84" s="4">
        <v>2001</v>
      </c>
      <c r="B84" s="4" t="s">
        <v>59</v>
      </c>
      <c r="C84" s="4">
        <v>38</v>
      </c>
      <c r="D84" s="4">
        <v>1</v>
      </c>
      <c r="E84" s="6">
        <v>2.2400000000000002</v>
      </c>
      <c r="F84" s="6">
        <v>0.19</v>
      </c>
      <c r="G84" s="9">
        <v>23</v>
      </c>
      <c r="H84" s="11">
        <f t="shared" si="1"/>
        <v>0.91120798942941661</v>
      </c>
    </row>
    <row r="85" spans="1:8" x14ac:dyDescent="0.25">
      <c r="B85" s="4" t="s">
        <v>59</v>
      </c>
      <c r="C85" s="4">
        <v>38</v>
      </c>
      <c r="D85" s="4">
        <v>2</v>
      </c>
      <c r="E85" s="6">
        <v>4.9400000000000004</v>
      </c>
      <c r="F85" s="6">
        <v>0.14000000000000001</v>
      </c>
      <c r="G85" s="9">
        <v>23</v>
      </c>
      <c r="H85" s="11">
        <f t="shared" si="1"/>
        <v>0.67141641326378076</v>
      </c>
    </row>
    <row r="86" spans="1:8" x14ac:dyDescent="0.25">
      <c r="A86" s="4">
        <v>1997</v>
      </c>
      <c r="B86" s="4" t="s">
        <v>60</v>
      </c>
      <c r="C86" s="4">
        <v>39</v>
      </c>
      <c r="D86" s="4">
        <v>1</v>
      </c>
      <c r="E86" s="6">
        <v>2.6</v>
      </c>
      <c r="F86" s="6">
        <v>0.22</v>
      </c>
      <c r="G86" s="9">
        <v>30</v>
      </c>
      <c r="H86" s="11">
        <f t="shared" si="1"/>
        <v>1.2049896265113655</v>
      </c>
    </row>
    <row r="87" spans="1:8" x14ac:dyDescent="0.25">
      <c r="B87" s="4" t="s">
        <v>60</v>
      </c>
      <c r="C87" s="4">
        <v>39</v>
      </c>
      <c r="D87" s="4">
        <v>2</v>
      </c>
      <c r="E87" s="6">
        <v>3.3</v>
      </c>
      <c r="F87" s="6">
        <v>0.26</v>
      </c>
      <c r="G87" s="9">
        <v>30</v>
      </c>
      <c r="H87" s="11">
        <f t="shared" si="1"/>
        <v>1.4240786495134319</v>
      </c>
    </row>
    <row r="88" spans="1:8" x14ac:dyDescent="0.25">
      <c r="A88" s="4">
        <v>2000</v>
      </c>
      <c r="B88" s="4" t="s">
        <v>61</v>
      </c>
      <c r="C88" s="4">
        <v>40</v>
      </c>
      <c r="D88" s="4">
        <v>1</v>
      </c>
      <c r="E88" s="6">
        <v>2.2200000000000002</v>
      </c>
      <c r="F88" s="6">
        <v>0.2</v>
      </c>
      <c r="G88" s="9">
        <v>16</v>
      </c>
      <c r="H88" s="11">
        <f t="shared" si="1"/>
        <v>0.8</v>
      </c>
    </row>
    <row r="89" spans="1:8" x14ac:dyDescent="0.25">
      <c r="B89" s="4" t="s">
        <v>61</v>
      </c>
      <c r="C89" s="4">
        <v>40</v>
      </c>
      <c r="D89" s="4">
        <v>2</v>
      </c>
      <c r="E89" s="6">
        <v>3</v>
      </c>
      <c r="F89" s="6">
        <v>0.24</v>
      </c>
      <c r="G89" s="9">
        <v>16</v>
      </c>
      <c r="H89" s="11">
        <f t="shared" si="1"/>
        <v>0.96</v>
      </c>
    </row>
    <row r="90" spans="1:8" x14ac:dyDescent="0.25">
      <c r="A90" s="35">
        <v>1999</v>
      </c>
      <c r="B90" s="4" t="s">
        <v>87</v>
      </c>
      <c r="C90" s="4">
        <v>41</v>
      </c>
      <c r="D90" s="4">
        <v>1</v>
      </c>
      <c r="E90" s="6">
        <v>3.5</v>
      </c>
      <c r="F90" s="6">
        <v>0.4</v>
      </c>
      <c r="G90" s="9">
        <v>10</v>
      </c>
      <c r="H90" s="11">
        <f t="shared" si="1"/>
        <v>1.264911064067352</v>
      </c>
    </row>
    <row r="91" spans="1:8" x14ac:dyDescent="0.25">
      <c r="B91" s="4" t="s">
        <v>87</v>
      </c>
      <c r="C91" s="4">
        <v>41</v>
      </c>
      <c r="D91" s="4">
        <v>2</v>
      </c>
      <c r="E91" s="6">
        <v>4.4000000000000004</v>
      </c>
      <c r="F91" s="6">
        <v>0.33</v>
      </c>
      <c r="G91" s="9">
        <v>10</v>
      </c>
      <c r="H91" s="11">
        <f t="shared" si="1"/>
        <v>1.0435516278555652</v>
      </c>
    </row>
    <row r="92" spans="1:8" x14ac:dyDescent="0.25">
      <c r="A92" s="35">
        <v>1999</v>
      </c>
      <c r="B92" s="4" t="s">
        <v>88</v>
      </c>
      <c r="C92" s="4">
        <v>42</v>
      </c>
      <c r="D92" s="4">
        <v>1</v>
      </c>
      <c r="E92" s="6">
        <v>3.4</v>
      </c>
      <c r="F92" s="6">
        <v>0.26</v>
      </c>
      <c r="G92" s="9">
        <v>30</v>
      </c>
      <c r="H92" s="11">
        <f t="shared" si="1"/>
        <v>1.4240786495134319</v>
      </c>
    </row>
    <row r="93" spans="1:8" x14ac:dyDescent="0.25">
      <c r="B93" s="4" t="s">
        <v>88</v>
      </c>
      <c r="C93" s="4">
        <v>42</v>
      </c>
      <c r="D93" s="4">
        <v>4</v>
      </c>
      <c r="E93" s="6">
        <v>4.5</v>
      </c>
      <c r="F93" s="6">
        <v>0.22</v>
      </c>
      <c r="G93" s="9">
        <v>30</v>
      </c>
      <c r="H93" s="11">
        <f t="shared" si="1"/>
        <v>1.2049896265113655</v>
      </c>
    </row>
    <row r="94" spans="1:8" x14ac:dyDescent="0.25">
      <c r="A94" s="4">
        <v>2005</v>
      </c>
      <c r="B94" s="4" t="s">
        <v>62</v>
      </c>
      <c r="C94" s="4">
        <v>43</v>
      </c>
      <c r="D94" s="4">
        <v>1</v>
      </c>
      <c r="E94" s="6">
        <v>4.3899999999999997</v>
      </c>
      <c r="F94" s="6">
        <v>0.4</v>
      </c>
      <c r="G94" s="9">
        <v>14</v>
      </c>
      <c r="H94" s="11">
        <f t="shared" si="1"/>
        <v>1.4966629547095767</v>
      </c>
    </row>
    <row r="95" spans="1:8" x14ac:dyDescent="0.25">
      <c r="B95" s="4" t="s">
        <v>62</v>
      </c>
      <c r="C95" s="4">
        <v>43</v>
      </c>
      <c r="D95" s="4">
        <v>2</v>
      </c>
      <c r="E95" s="6">
        <v>4.17</v>
      </c>
      <c r="F95" s="6">
        <v>0.42</v>
      </c>
      <c r="G95" s="9">
        <v>14</v>
      </c>
      <c r="H95" s="11">
        <f t="shared" si="1"/>
        <v>1.5714961024450553</v>
      </c>
    </row>
    <row r="96" spans="1:8" x14ac:dyDescent="0.25">
      <c r="A96" s="4">
        <v>2010</v>
      </c>
      <c r="B96" s="4" t="s">
        <v>63</v>
      </c>
      <c r="C96" s="4">
        <v>44</v>
      </c>
      <c r="D96" s="4">
        <v>1</v>
      </c>
      <c r="E96" s="6">
        <v>3.49</v>
      </c>
      <c r="F96" s="6">
        <v>0.37</v>
      </c>
      <c r="G96" s="9">
        <v>10</v>
      </c>
      <c r="H96" s="11">
        <f t="shared" si="1"/>
        <v>1.1700427342623003</v>
      </c>
    </row>
    <row r="97" spans="1:8" x14ac:dyDescent="0.25">
      <c r="B97" s="4" t="s">
        <v>63</v>
      </c>
      <c r="C97" s="4">
        <v>44</v>
      </c>
      <c r="D97" s="4">
        <v>2</v>
      </c>
      <c r="E97" s="6">
        <v>4</v>
      </c>
      <c r="F97" s="6">
        <v>0.31</v>
      </c>
      <c r="G97" s="9">
        <v>10</v>
      </c>
      <c r="H97" s="11">
        <f t="shared" si="1"/>
        <v>0.98030607465219766</v>
      </c>
    </row>
    <row r="98" spans="1:8" x14ac:dyDescent="0.25">
      <c r="A98" s="4">
        <v>2002</v>
      </c>
      <c r="B98" s="4" t="s">
        <v>64</v>
      </c>
      <c r="C98" s="4">
        <v>45</v>
      </c>
      <c r="D98" s="4">
        <v>1</v>
      </c>
      <c r="E98" s="6">
        <v>2.31</v>
      </c>
      <c r="F98" s="6">
        <v>0.33</v>
      </c>
      <c r="G98" s="9">
        <v>25</v>
      </c>
      <c r="H98" s="11">
        <f t="shared" si="1"/>
        <v>1.6500000000000001</v>
      </c>
    </row>
    <row r="99" spans="1:8" x14ac:dyDescent="0.25">
      <c r="B99" s="4" t="s">
        <v>64</v>
      </c>
      <c r="C99" s="4">
        <v>45</v>
      </c>
      <c r="D99" s="4">
        <v>4</v>
      </c>
      <c r="E99" s="6">
        <v>2.41</v>
      </c>
      <c r="F99" s="6">
        <v>0.33</v>
      </c>
      <c r="G99" s="9">
        <v>25</v>
      </c>
      <c r="H99" s="11">
        <f t="shared" si="1"/>
        <v>1.6500000000000001</v>
      </c>
    </row>
    <row r="100" spans="1:8" x14ac:dyDescent="0.25">
      <c r="A100" s="4">
        <v>1995</v>
      </c>
      <c r="B100" s="4" t="s">
        <v>65</v>
      </c>
      <c r="C100" s="4">
        <v>46</v>
      </c>
      <c r="D100" s="4">
        <v>1</v>
      </c>
      <c r="E100" s="6">
        <v>1.44</v>
      </c>
      <c r="F100" s="6">
        <v>0.28999999999999998</v>
      </c>
      <c r="G100" s="9">
        <v>20</v>
      </c>
      <c r="H100" s="11">
        <f t="shared" si="1"/>
        <v>1.2969194269498781</v>
      </c>
    </row>
    <row r="101" spans="1:8" x14ac:dyDescent="0.25">
      <c r="B101" s="4" t="s">
        <v>65</v>
      </c>
      <c r="C101" s="4">
        <v>46</v>
      </c>
      <c r="D101" s="4">
        <v>4</v>
      </c>
      <c r="E101" s="6">
        <v>2.67</v>
      </c>
      <c r="F101" s="6">
        <v>0.37</v>
      </c>
      <c r="G101" s="9">
        <v>20</v>
      </c>
      <c r="H101" s="11">
        <f t="shared" si="1"/>
        <v>1.6546903033498443</v>
      </c>
    </row>
    <row r="102" spans="1:8" x14ac:dyDescent="0.25">
      <c r="A102" s="4">
        <v>2000</v>
      </c>
      <c r="B102" s="4" t="s">
        <v>66</v>
      </c>
      <c r="C102" s="4">
        <v>47</v>
      </c>
      <c r="D102" s="4">
        <v>1</v>
      </c>
      <c r="E102" s="6">
        <v>4.45</v>
      </c>
      <c r="F102" s="6">
        <v>0.88</v>
      </c>
      <c r="G102" s="9">
        <v>11</v>
      </c>
      <c r="H102" s="11">
        <f t="shared" si="1"/>
        <v>2.9186298155127517</v>
      </c>
    </row>
    <row r="103" spans="1:8" x14ac:dyDescent="0.25">
      <c r="B103" s="4" t="s">
        <v>66</v>
      </c>
      <c r="C103" s="4">
        <v>47</v>
      </c>
      <c r="D103" s="4">
        <v>4</v>
      </c>
      <c r="E103" s="6">
        <v>4.2300000000000004</v>
      </c>
      <c r="F103" s="6">
        <v>0.66</v>
      </c>
      <c r="G103" s="9">
        <v>11</v>
      </c>
      <c r="H103" s="11">
        <f t="shared" si="1"/>
        <v>2.1889723616345638</v>
      </c>
    </row>
    <row r="104" spans="1:8" x14ac:dyDescent="0.25">
      <c r="A104" s="4">
        <v>2006</v>
      </c>
      <c r="B104" s="4" t="s">
        <v>67</v>
      </c>
      <c r="C104" s="4">
        <v>48</v>
      </c>
      <c r="D104" s="4">
        <v>5</v>
      </c>
      <c r="E104" s="6">
        <v>6</v>
      </c>
      <c r="F104" s="6">
        <v>0.22</v>
      </c>
      <c r="G104" s="9">
        <v>25</v>
      </c>
      <c r="H104" s="11">
        <f t="shared" si="1"/>
        <v>1.1000000000000001</v>
      </c>
    </row>
    <row r="105" spans="1:8" x14ac:dyDescent="0.25">
      <c r="B105" s="4" t="s">
        <v>67</v>
      </c>
      <c r="C105" s="4">
        <v>48</v>
      </c>
      <c r="D105" s="4">
        <v>8</v>
      </c>
      <c r="E105" s="6">
        <v>6.3</v>
      </c>
      <c r="F105" s="6">
        <v>0.24</v>
      </c>
      <c r="G105" s="9">
        <v>25</v>
      </c>
      <c r="H105" s="11">
        <f t="shared" si="1"/>
        <v>1.2</v>
      </c>
    </row>
    <row r="106" spans="1:8" x14ac:dyDescent="0.25">
      <c r="A106" s="4">
        <v>1996</v>
      </c>
      <c r="B106" s="4" t="s">
        <v>68</v>
      </c>
      <c r="C106" s="4">
        <v>49</v>
      </c>
      <c r="D106" s="4">
        <v>1</v>
      </c>
      <c r="E106" s="6">
        <v>3.55</v>
      </c>
      <c r="F106" s="6">
        <v>0.35</v>
      </c>
      <c r="G106" s="9">
        <v>10</v>
      </c>
      <c r="H106" s="11">
        <f t="shared" si="1"/>
        <v>1.1067971810589328</v>
      </c>
    </row>
    <row r="107" spans="1:8" x14ac:dyDescent="0.25">
      <c r="B107" s="4" t="s">
        <v>69</v>
      </c>
      <c r="C107" s="4">
        <v>49</v>
      </c>
      <c r="D107" s="4">
        <v>4</v>
      </c>
      <c r="E107" s="6">
        <v>5.35</v>
      </c>
      <c r="F107" s="6">
        <v>0.41</v>
      </c>
      <c r="G107" s="9">
        <v>10</v>
      </c>
      <c r="H107" s="11">
        <f t="shared" si="1"/>
        <v>1.2965338406690354</v>
      </c>
    </row>
    <row r="108" spans="1:8" x14ac:dyDescent="0.25">
      <c r="A108" s="4">
        <v>2009</v>
      </c>
      <c r="B108" s="4" t="s">
        <v>70</v>
      </c>
      <c r="C108" s="4">
        <v>50</v>
      </c>
      <c r="D108" s="4">
        <v>1</v>
      </c>
      <c r="E108" s="6">
        <v>2.4</v>
      </c>
      <c r="F108" s="6">
        <v>0.3</v>
      </c>
      <c r="G108" s="9">
        <v>19</v>
      </c>
      <c r="H108" s="11">
        <f t="shared" si="1"/>
        <v>1.3076696830622021</v>
      </c>
    </row>
    <row r="109" spans="1:8" x14ac:dyDescent="0.25">
      <c r="B109" s="4" t="s">
        <v>70</v>
      </c>
      <c r="C109" s="4">
        <v>50</v>
      </c>
      <c r="D109" s="4">
        <v>2</v>
      </c>
      <c r="E109" s="6">
        <v>4.2</v>
      </c>
      <c r="F109" s="6">
        <v>0.3</v>
      </c>
      <c r="G109" s="9">
        <v>19</v>
      </c>
      <c r="H109" s="11">
        <f t="shared" si="1"/>
        <v>1.3076696830622021</v>
      </c>
    </row>
    <row r="110" spans="1:8" x14ac:dyDescent="0.25">
      <c r="A110" s="4">
        <v>1995</v>
      </c>
      <c r="B110" s="4" t="s">
        <v>71</v>
      </c>
      <c r="C110" s="4">
        <v>51</v>
      </c>
      <c r="D110" s="4">
        <v>4</v>
      </c>
      <c r="E110" s="6">
        <v>3.85</v>
      </c>
      <c r="F110" s="6">
        <v>0.41</v>
      </c>
      <c r="G110" s="9">
        <v>14</v>
      </c>
      <c r="H110" s="11">
        <f t="shared" si="1"/>
        <v>1.5340795285773159</v>
      </c>
    </row>
    <row r="111" spans="1:8" x14ac:dyDescent="0.25">
      <c r="B111" s="4" t="s">
        <v>71</v>
      </c>
      <c r="C111" s="4">
        <v>51</v>
      </c>
      <c r="D111" s="10">
        <v>5</v>
      </c>
      <c r="E111" s="12">
        <v>4.3</v>
      </c>
      <c r="F111" s="12">
        <v>0.83</v>
      </c>
      <c r="G111" s="9">
        <v>7</v>
      </c>
      <c r="H111" s="11">
        <f t="shared" si="1"/>
        <v>2.1959735881836102</v>
      </c>
    </row>
  </sheetData>
  <autoFilter ref="I5:K27"/>
  <sortState ref="I6:K25">
    <sortCondition ref="I4:I25"/>
  </sortState>
  <mergeCells count="1">
    <mergeCell ref="I2:L4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1F7763-32E8-418E-BC7E-50D35C9EB2CC}"/>
</file>

<file path=customXml/itemProps2.xml><?xml version="1.0" encoding="utf-8"?>
<ds:datastoreItem xmlns:ds="http://schemas.openxmlformats.org/officeDocument/2006/customXml" ds:itemID="{7FB9A64E-D4B8-4FFE-A98A-299C5873B8F1}"/>
</file>

<file path=customXml/itemProps3.xml><?xml version="1.0" encoding="utf-8"?>
<ds:datastoreItem xmlns:ds="http://schemas.openxmlformats.org/officeDocument/2006/customXml" ds:itemID="{2177FD5B-62C1-437C-B5F0-47C6AD48B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2019-02-28T11:19:12Z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