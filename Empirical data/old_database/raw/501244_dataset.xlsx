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2"/>
    <sheet name="Φύλλο2" sheetId="2" state="visible" r:id="rId3"/>
    <sheet name="Φύλλο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<sst xmlns="http://schemas.openxmlformats.org/spreadsheetml/2006/main" count="31" uniqueCount="31">
  <si>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Study year</t>
  </si>
  <si>
    <t xml:space="preserve">Study name</t>
  </si>
  <si>
    <t xml:space="preserve">id</t>
  </si>
  <si>
    <t xml:space="preserve">t1</t>
  </si>
  <si>
    <t xml:space="preserve">t2</t>
  </si>
  <si>
    <t xml:space="preserve">HR </t>
  </si>
  <si>
    <t xml:space="preserve">CIL HR</t>
  </si>
  <si>
    <t xml:space="preserve">CIH HR</t>
  </si>
  <si>
    <t xml:space="preserve">effect</t>
  </si>
  <si>
    <t xml:space="preserve">CHL</t>
  </si>
  <si>
    <t xml:space="preserve">CIH</t>
  </si>
  <si>
    <t xml:space="preserve">se</t>
  </si>
  <si>
    <t xml:space="preserve">Beneficial</t>
  </si>
  <si>
    <r>
      <rPr>
        <b val="true"/>
        <sz val="11"/>
        <color rgb="FF000000"/>
        <rFont val="Calibri"/>
        <family val="2"/>
        <charset val="1"/>
      </rPr>
      <t xml:space="preserve">Outcome</t>
    </r>
    <r>
      <rPr>
        <sz val="11"/>
        <color rgb="FF000000"/>
        <rFont val="Calibri"/>
        <family val="2"/>
        <charset val="161"/>
      </rPr>
      <t xml:space="preserve">: No relapse at 1 year - efficacy of therapeutic treatments for relapsing-remitting multiple sclerosis</t>
    </r>
  </si>
  <si>
    <t xml:space="preserve">Jacobs et al.</t>
  </si>
  <si>
    <t xml:space="preserve">Treatments</t>
  </si>
  <si>
    <t xml:space="preserve">Placebo</t>
  </si>
  <si>
    <t xml:space="preserve">PRISMS Study Group</t>
  </si>
  <si>
    <t xml:space="preserve">Interferon B-1</t>
  </si>
  <si>
    <t xml:space="preserve">The IFNB Multiple Sclerosis Study Group</t>
  </si>
  <si>
    <t xml:space="preserve">Glatiramer</t>
  </si>
  <si>
    <t xml:space="preserve">Bornstein et al. </t>
  </si>
  <si>
    <t xml:space="preserve">Natalizumab</t>
  </si>
  <si>
    <t xml:space="preserve">Comi et al.</t>
  </si>
  <si>
    <t xml:space="preserve">Fingolimod</t>
  </si>
  <si>
    <t xml:space="preserve">Cadavid et al. </t>
  </si>
  <si>
    <t xml:space="preserve">Mikol et al.</t>
  </si>
  <si>
    <t xml:space="preserve">y=lnHR</t>
  </si>
  <si>
    <t xml:space="preserve">Polman et al.</t>
  </si>
  <si>
    <t xml:space="preserve">Cohen et al.</t>
  </si>
  <si>
    <t xml:space="preserve">Kappos et al.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</si>
</sst>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7E4BD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14.15"/>
    <col collapsed="false" customWidth="true" hidden="false" outlineLevel="0" max="3" min="3" style="0" width="3.14"/>
    <col collapsed="false" customWidth="true" hidden="false" outlineLevel="0" max="1025" min="4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n">
        <v>1996</v>
      </c>
      <c r="B2" s="0" t="s">
        <v>14</v>
      </c>
      <c r="C2" s="0" t="n">
        <v>1</v>
      </c>
      <c r="D2" s="0" t="n">
        <v>2</v>
      </c>
      <c r="E2" s="0" t="n">
        <v>1</v>
      </c>
      <c r="F2" s="0" t="n">
        <v>1.24</v>
      </c>
      <c r="G2" s="0" t="n">
        <v>0.94</v>
      </c>
      <c r="H2" s="0" t="n">
        <v>1.65</v>
      </c>
      <c r="I2" s="0" t="n">
        <f aca="false">LN(F2)</f>
        <v>0.215111379616945</v>
      </c>
      <c r="J2" s="0" t="n">
        <f aca="false">LN(G2)</f>
        <v>-0.0618754037180874</v>
      </c>
      <c r="K2" s="0" t="n">
        <f aca="false">LN(H2)</f>
        <v>0.500775287912489</v>
      </c>
      <c r="L2" s="0" t="n">
        <f aca="false">(K2-J2)/3.92</f>
        <v>0.143533339701678</v>
      </c>
      <c r="O2" s="1" t="s">
        <v>15</v>
      </c>
      <c r="P2" s="2" t="n">
        <v>1</v>
      </c>
      <c r="Q2" s="2" t="s">
        <v>16</v>
      </c>
      <c r="R2" s="2"/>
      <c r="S2" s="2"/>
      <c r="T2" s="2"/>
    </row>
    <row r="3" customFormat="false" ht="15" hidden="false" customHeight="false" outlineLevel="0" collapsed="false">
      <c r="A3" s="0" t="n">
        <v>1998</v>
      </c>
      <c r="B3" s="0" t="s">
        <v>17</v>
      </c>
      <c r="C3" s="0" t="n">
        <v>2</v>
      </c>
      <c r="D3" s="0" t="n">
        <v>2</v>
      </c>
      <c r="E3" s="0" t="n">
        <v>1</v>
      </c>
      <c r="F3" s="0" t="n">
        <v>2.06</v>
      </c>
      <c r="G3" s="0" t="n">
        <v>1.5</v>
      </c>
      <c r="H3" s="0" t="n">
        <v>2.82</v>
      </c>
      <c r="I3" s="0" t="n">
        <f aca="false">LN(F3)</f>
        <v>0.72270598280149</v>
      </c>
      <c r="J3" s="0" t="n">
        <f aca="false">LN(G3)</f>
        <v>0.405465108108164</v>
      </c>
      <c r="K3" s="0" t="n">
        <f aca="false">LN(H3)</f>
        <v>1.03673688495002</v>
      </c>
      <c r="L3" s="0" t="n">
        <f aca="false">(K3-J3)/3.92</f>
        <v>0.161038718582107</v>
      </c>
      <c r="P3" s="2" t="n">
        <v>2</v>
      </c>
      <c r="Q3" s="2" t="s">
        <v>18</v>
      </c>
      <c r="R3" s="2"/>
      <c r="S3" s="2"/>
      <c r="T3" s="2"/>
    </row>
    <row r="4" customFormat="false" ht="15" hidden="false" customHeight="false" outlineLevel="0" collapsed="false">
      <c r="A4" s="0" t="n">
        <v>1993</v>
      </c>
      <c r="B4" s="0" t="s">
        <v>19</v>
      </c>
      <c r="C4" s="0" t="n">
        <v>3</v>
      </c>
      <c r="D4" s="0" t="n">
        <v>2</v>
      </c>
      <c r="E4" s="0" t="n">
        <v>1</v>
      </c>
      <c r="F4" s="0" t="n">
        <v>1.44</v>
      </c>
      <c r="G4" s="0" t="n">
        <v>1.1</v>
      </c>
      <c r="H4" s="0" t="n">
        <v>1.88</v>
      </c>
      <c r="I4" s="0" t="n">
        <f aca="false">LN(F4)</f>
        <v>0.364643113587909</v>
      </c>
      <c r="J4" s="0" t="n">
        <f aca="false">LN(G4)</f>
        <v>0.0953101798043249</v>
      </c>
      <c r="K4" s="0" t="n">
        <f aca="false">LN(H4)</f>
        <v>0.631271776841858</v>
      </c>
      <c r="L4" s="0" t="n">
        <f aca="false">(K4-J4)/3.92</f>
        <v>0.136724897203452</v>
      </c>
      <c r="P4" s="2" t="n">
        <v>3</v>
      </c>
      <c r="Q4" s="2" t="s">
        <v>20</v>
      </c>
      <c r="R4" s="2"/>
      <c r="S4" s="2"/>
      <c r="T4" s="2"/>
    </row>
    <row r="5" customFormat="false" ht="15" hidden="false" customHeight="false" outlineLevel="0" collapsed="false">
      <c r="A5" s="0" t="n">
        <v>1987</v>
      </c>
      <c r="B5" s="0" t="s">
        <v>21</v>
      </c>
      <c r="C5" s="0" t="n">
        <v>4</v>
      </c>
      <c r="D5" s="0" t="n">
        <v>3</v>
      </c>
      <c r="E5" s="0" t="n">
        <v>1</v>
      </c>
      <c r="F5" s="0" t="n">
        <v>2.76</v>
      </c>
      <c r="G5" s="0" t="n">
        <v>1.33</v>
      </c>
      <c r="H5" s="0" t="n">
        <v>5.73</v>
      </c>
      <c r="I5" s="0" t="n">
        <f aca="false">LN(F5)</f>
        <v>1.01523067972906</v>
      </c>
      <c r="J5" s="0" t="n">
        <f aca="false">LN(G5)</f>
        <v>0.285178942233662</v>
      </c>
      <c r="K5" s="0" t="n">
        <f aca="false">LN(H5)</f>
        <v>1.74571553072665</v>
      </c>
      <c r="L5" s="0" t="n">
        <f aca="false">(K5-J5)/3.92</f>
        <v>0.372585864411476</v>
      </c>
      <c r="P5" s="2" t="n">
        <v>4</v>
      </c>
      <c r="Q5" s="2" t="s">
        <v>22</v>
      </c>
      <c r="R5" s="2"/>
      <c r="S5" s="2"/>
      <c r="T5" s="2"/>
    </row>
    <row r="6" customFormat="false" ht="15" hidden="false" customHeight="false" outlineLevel="0" collapsed="false">
      <c r="A6" s="0" t="n">
        <v>2001</v>
      </c>
      <c r="B6" s="0" t="s">
        <v>23</v>
      </c>
      <c r="C6" s="0" t="n">
        <v>5</v>
      </c>
      <c r="D6" s="0" t="n">
        <v>3</v>
      </c>
      <c r="E6" s="0" t="n">
        <v>1</v>
      </c>
      <c r="F6" s="0" t="n">
        <v>1.13</v>
      </c>
      <c r="G6" s="0" t="n">
        <v>0.88</v>
      </c>
      <c r="H6" s="0" t="n">
        <v>1.44</v>
      </c>
      <c r="I6" s="0" t="n">
        <f aca="false">LN(F6)</f>
        <v>0.122217632724249</v>
      </c>
      <c r="J6" s="0" t="n">
        <f aca="false">LN(G6)</f>
        <v>-0.127833371509885</v>
      </c>
      <c r="K6" s="0" t="n">
        <f aca="false">LN(H6)</f>
        <v>0.364643113587909</v>
      </c>
      <c r="L6" s="0" t="n">
        <f aca="false">(K6-J6)/3.92</f>
        <v>0.125631756402498</v>
      </c>
      <c r="P6" s="2" t="n">
        <v>5</v>
      </c>
      <c r="Q6" s="2" t="s">
        <v>24</v>
      </c>
      <c r="R6" s="2"/>
      <c r="S6" s="2"/>
      <c r="T6" s="2"/>
    </row>
    <row r="7" customFormat="false" ht="15" hidden="false" customHeight="false" outlineLevel="0" collapsed="false">
      <c r="A7" s="0" t="n">
        <v>2009</v>
      </c>
      <c r="B7" s="0" t="s">
        <v>25</v>
      </c>
      <c r="C7" s="0" t="n">
        <v>6</v>
      </c>
      <c r="D7" s="0" t="n">
        <v>2</v>
      </c>
      <c r="E7" s="0" t="n">
        <v>3</v>
      </c>
      <c r="F7" s="0" t="n">
        <v>1.01</v>
      </c>
      <c r="G7" s="0" t="n">
        <v>0.76</v>
      </c>
      <c r="H7" s="0" t="n">
        <v>1.33</v>
      </c>
      <c r="I7" s="0" t="n">
        <f aca="false">LN(F7)</f>
        <v>0.00995033085316809</v>
      </c>
      <c r="J7" s="0" t="n">
        <f aca="false">LN(G7)</f>
        <v>-0.27443684570176</v>
      </c>
      <c r="K7" s="0" t="n">
        <f aca="false">LN(H7)</f>
        <v>0.285178942233662</v>
      </c>
      <c r="L7" s="0" t="n">
        <f aca="false">(K7-J7)/3.92</f>
        <v>0.142759129575363</v>
      </c>
      <c r="P7" s="2"/>
      <c r="Q7" s="2"/>
      <c r="R7" s="2"/>
      <c r="S7" s="2"/>
      <c r="T7" s="2"/>
    </row>
    <row r="8" customFormat="false" ht="15" hidden="false" customHeight="false" outlineLevel="0" collapsed="false">
      <c r="A8" s="0" t="n">
        <v>2000</v>
      </c>
      <c r="B8" s="0" t="s">
        <v>26</v>
      </c>
      <c r="C8" s="0" t="n">
        <v>7</v>
      </c>
      <c r="D8" s="0" t="n">
        <v>2</v>
      </c>
      <c r="E8" s="0" t="n">
        <v>3</v>
      </c>
      <c r="F8" s="0" t="n">
        <v>1.04</v>
      </c>
      <c r="G8" s="0" t="n">
        <v>0.96</v>
      </c>
      <c r="H8" s="0" t="n">
        <v>1.13</v>
      </c>
      <c r="I8" s="0" t="n">
        <f aca="false">LN(F8)</f>
        <v>0.0392207131532813</v>
      </c>
      <c r="J8" s="0" t="n">
        <f aca="false">LN(G8)</f>
        <v>-0.0408219945202552</v>
      </c>
      <c r="K8" s="0" t="n">
        <f aca="false">LN(H8)</f>
        <v>0.122217632724249</v>
      </c>
      <c r="L8" s="0" t="n">
        <f aca="false">(K8-J8)/3.92</f>
        <v>0.0415917416440062</v>
      </c>
      <c r="P8" s="2"/>
      <c r="Q8" s="3" t="s">
        <v>27</v>
      </c>
      <c r="R8" s="2"/>
      <c r="S8" s="2"/>
      <c r="T8" s="2"/>
    </row>
    <row r="9" customFormat="false" ht="15" hidden="false" customHeight="false" outlineLevel="0" collapsed="false">
      <c r="A9" s="0" t="n">
        <v>2006</v>
      </c>
      <c r="B9" s="0" t="s">
        <v>28</v>
      </c>
      <c r="C9" s="0" t="n">
        <v>8</v>
      </c>
      <c r="D9" s="0" t="n">
        <v>4</v>
      </c>
      <c r="E9" s="0" t="n">
        <v>1</v>
      </c>
      <c r="F9" s="0" t="n">
        <v>1.38</v>
      </c>
      <c r="G9" s="0" t="n">
        <v>1.24</v>
      </c>
      <c r="H9" s="0" t="n">
        <v>1.53</v>
      </c>
      <c r="I9" s="0" t="n">
        <f aca="false">LN(F9)</f>
        <v>0.322083499169113</v>
      </c>
      <c r="J9" s="0" t="n">
        <f aca="false">LN(G9)</f>
        <v>0.215111379616945</v>
      </c>
      <c r="K9" s="0" t="n">
        <f aca="false">LN(H9)</f>
        <v>0.425267735404344</v>
      </c>
      <c r="L9" s="0" t="n">
        <f aca="false">(K9-J9)/3.92</f>
        <v>0.0536113152518874</v>
      </c>
    </row>
    <row r="10" customFormat="false" ht="15" hidden="false" customHeight="false" outlineLevel="0" collapsed="false">
      <c r="A10" s="0" t="n">
        <v>2010</v>
      </c>
      <c r="B10" s="0" t="s">
        <v>29</v>
      </c>
      <c r="C10" s="0" t="n">
        <v>9</v>
      </c>
      <c r="D10" s="0" t="n">
        <v>5</v>
      </c>
      <c r="E10" s="0" t="n">
        <v>2</v>
      </c>
      <c r="F10" s="0" t="n">
        <v>1.18</v>
      </c>
      <c r="G10" s="0" t="n">
        <v>1.09</v>
      </c>
      <c r="H10" s="0" t="n">
        <v>1.27</v>
      </c>
      <c r="I10" s="0" t="n">
        <f aca="false">LN(F10)</f>
        <v>0.165514438477573</v>
      </c>
      <c r="J10" s="0" t="n">
        <f aca="false">LN(G10)</f>
        <v>0.0861776962410524</v>
      </c>
      <c r="K10" s="0" t="n">
        <f aca="false">LN(H10)</f>
        <v>0.2390169004705</v>
      </c>
      <c r="L10" s="0" t="n">
        <f aca="false">(K10-J10)/3.92</f>
        <v>0.0389895929156754</v>
      </c>
    </row>
    <row r="11" customFormat="false" ht="15" hidden="false" customHeight="false" outlineLevel="0" collapsed="false">
      <c r="A11" s="0" t="n">
        <v>2010</v>
      </c>
      <c r="B11" s="0" t="s">
        <v>30</v>
      </c>
      <c r="C11" s="0" t="n">
        <v>10</v>
      </c>
      <c r="D11" s="0" t="n">
        <v>5</v>
      </c>
      <c r="E11" s="0" t="n">
        <v>1</v>
      </c>
      <c r="F11" s="0" t="n">
        <v>1.29</v>
      </c>
      <c r="G11" s="0" t="n">
        <v>1.18</v>
      </c>
      <c r="H11" s="0" t="n">
        <v>1.4</v>
      </c>
      <c r="I11" s="0" t="n">
        <f aca="false">LN(F11)</f>
        <v>0.254642218373581</v>
      </c>
      <c r="J11" s="0" t="n">
        <f aca="false">LN(G11)</f>
        <v>0.165514438477573</v>
      </c>
      <c r="K11" s="0" t="n">
        <f aca="false">LN(H11)</f>
        <v>0.336472236621213</v>
      </c>
      <c r="L11" s="0" t="n">
        <f aca="false">(K11-J11)/3.92</f>
        <v>0.0436116831999081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3575F2-6AC6-44F2-8FC9-EE9F9911B4C5}"/>
</file>

<file path=customXml/itemProps2.xml><?xml version="1.0" encoding="utf-8"?>
<ds:datastoreItem xmlns:ds="http://schemas.openxmlformats.org/officeDocument/2006/customXml" ds:itemID="{92CB3511-3142-404D-9D99-D754C51A3F84}"/>
</file>

<file path=customXml/itemProps3.xml><?xml version="1.0" encoding="utf-8"?>
<ds:datastoreItem xmlns:ds="http://schemas.openxmlformats.org/officeDocument/2006/customXml" ds:itemID="{BFE555DF-0AB1-43DB-96D9-0C19B586A58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stella</dc:creator>
  <dc:description/>
  <cp:lastModifiedBy>Theodore Papakonstantinou</cp:lastModifiedBy>
  <cp:revision>1</cp:revision>
  <dcterms:created xsi:type="dcterms:W3CDTF">2019-03-22T11:07:21Z</dcterms:created>
  <dcterms:modified xsi:type="dcterms:W3CDTF">2019-04-12T17:11:30Z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0x0101002D837B8920D00D4A8EFA68CF1C62BCD5</vt:lpwstr>
  </property>
</Properties>
</file>