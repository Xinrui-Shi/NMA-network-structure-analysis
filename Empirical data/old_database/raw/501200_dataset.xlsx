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H16" i="1"/>
  <c r="H15"/>
  <c r="H14"/>
  <c r="H13"/>
  <c r="H12"/>
  <c r="H11"/>
  <c r="H10"/>
  <c r="H9"/>
  <c r="H8"/>
  <c r="H7"/>
  <c r="H6"/>
  <c r="H5"/>
  <c r="H4"/>
  <c r="H3"/>
  <c r="H2"/>
</calcChain>
</file>

<file path=xl/sharedStrings.xml><?xml version="1.0" encoding="utf-8"?>
<sst xmlns="http://schemas.openxmlformats.org/spreadsheetml/2006/main" count="55" uniqueCount="48">
  <si>
    <t>year</t>
  </si>
  <si>
    <t>study</t>
  </si>
  <si>
    <t>id</t>
  </si>
  <si>
    <t>95% CI</t>
  </si>
  <si>
    <t xml:space="preserve">Beneficial </t>
  </si>
  <si>
    <t>Outcome:</t>
  </si>
  <si>
    <t>static physician’s global assessment (PGA) response rate</t>
  </si>
  <si>
    <t>Lebwohl</t>
  </si>
  <si>
    <t>1.942-7.397</t>
  </si>
  <si>
    <t>Treatments</t>
  </si>
  <si>
    <t>Placebo</t>
  </si>
  <si>
    <t>Alefacept</t>
  </si>
  <si>
    <t>Papp</t>
  </si>
  <si>
    <t>2.921-11.242</t>
  </si>
  <si>
    <t>Efalizumab</t>
  </si>
  <si>
    <t>Infliximab</t>
  </si>
  <si>
    <t>Leonardi</t>
  </si>
  <si>
    <t>6.04-40-291</t>
  </si>
  <si>
    <t>Adalimumab</t>
  </si>
  <si>
    <t>Etanercept</t>
  </si>
  <si>
    <t>Dubertret</t>
  </si>
  <si>
    <t>5.001-19.995</t>
  </si>
  <si>
    <t>Ustekinumab</t>
  </si>
  <si>
    <t>Briakinumab</t>
  </si>
  <si>
    <t>Gottleib</t>
  </si>
  <si>
    <t>26.422-253.74</t>
  </si>
  <si>
    <t>Reich</t>
  </si>
  <si>
    <t>24.969-435.518</t>
  </si>
  <si>
    <t xml:space="preserve">Menter </t>
  </si>
  <si>
    <t>21.26-60.081</t>
  </si>
  <si>
    <t xml:space="preserve">Saurat </t>
  </si>
  <si>
    <t>8.251-55.195</t>
  </si>
  <si>
    <t>15.864-79.62</t>
  </si>
  <si>
    <t>8.89-41.77</t>
  </si>
  <si>
    <t>2008a</t>
  </si>
  <si>
    <t>21.208-80.74</t>
  </si>
  <si>
    <t>2008b</t>
  </si>
  <si>
    <t>27.59-105.809</t>
  </si>
  <si>
    <t>2088a</t>
  </si>
  <si>
    <t>14.76-94.562</t>
  </si>
  <si>
    <t>15.6-100.018</t>
  </si>
  <si>
    <t>Kimbal</t>
  </si>
  <si>
    <t>19.781-1796.246</t>
  </si>
  <si>
    <t>t2</t>
  </si>
  <si>
    <t>t1</t>
  </si>
  <si>
    <t>effect</t>
  </si>
  <si>
    <t>effect=OR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</si>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</sst>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sqref="A1:XFD1"/>
    </sheetView>
  </sheetViews>
  <sheetFormatPr baseColWidth="10" defaultRowHeight="15"/>
  <cols>
    <col min="3" max="3" width="14.42578125" customWidth="1"/>
    <col min="6" max="6" width="16.28515625" customWidth="1"/>
    <col min="7" max="7" width="15.85546875" customWidth="1"/>
    <col min="8" max="8" width="11.42578125" style="4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44</v>
      </c>
      <c r="E1" s="1" t="s">
        <v>43</v>
      </c>
      <c r="F1" s="1" t="s">
        <v>45</v>
      </c>
      <c r="G1" s="1" t="s">
        <v>3</v>
      </c>
      <c r="H1" s="5" t="s">
        <v>47</v>
      </c>
    </row>
    <row r="2" spans="1:10">
      <c r="A2">
        <v>2003</v>
      </c>
      <c r="B2" t="s">
        <v>7</v>
      </c>
      <c r="C2">
        <v>1</v>
      </c>
      <c r="D2">
        <v>2</v>
      </c>
      <c r="E2">
        <v>1</v>
      </c>
      <c r="F2">
        <v>3.79</v>
      </c>
      <c r="G2" t="s">
        <v>8</v>
      </c>
      <c r="H2" s="4">
        <f>(7.397-1.942)/(1.96^2)</f>
        <v>1.4199812578092463</v>
      </c>
    </row>
    <row r="3" spans="1:10">
      <c r="A3">
        <v>2006</v>
      </c>
      <c r="B3" t="s">
        <v>12</v>
      </c>
      <c r="C3">
        <v>2</v>
      </c>
      <c r="D3">
        <v>3</v>
      </c>
      <c r="E3">
        <v>1</v>
      </c>
      <c r="F3">
        <v>5.73</v>
      </c>
      <c r="G3" t="s">
        <v>13</v>
      </c>
      <c r="H3" s="4">
        <f>(11.242-2.921)/(1.96^2)</f>
        <v>2.1660245730945444</v>
      </c>
      <c r="J3" t="s">
        <v>46</v>
      </c>
    </row>
    <row r="4" spans="1:10">
      <c r="A4">
        <v>2005</v>
      </c>
      <c r="B4" t="s">
        <v>16</v>
      </c>
      <c r="C4">
        <v>3</v>
      </c>
      <c r="D4">
        <v>3</v>
      </c>
      <c r="E4">
        <v>1</v>
      </c>
      <c r="F4">
        <v>15.6</v>
      </c>
      <c r="G4" t="s">
        <v>17</v>
      </c>
      <c r="H4" s="4">
        <f>(40.291-6.04)/(1.96^2)</f>
        <v>8.9158163265306118</v>
      </c>
    </row>
    <row r="5" spans="1:10">
      <c r="A5">
        <v>2006</v>
      </c>
      <c r="B5" t="s">
        <v>20</v>
      </c>
      <c r="C5">
        <v>4</v>
      </c>
      <c r="D5">
        <v>3</v>
      </c>
      <c r="E5">
        <v>1</v>
      </c>
      <c r="F5">
        <v>10</v>
      </c>
      <c r="G5" t="s">
        <v>21</v>
      </c>
      <c r="H5" s="4">
        <f>(19.995-5.001)/(1.96^2)</f>
        <v>3.9030612244897962</v>
      </c>
    </row>
    <row r="6" spans="1:10">
      <c r="A6">
        <v>2004</v>
      </c>
      <c r="B6" t="s">
        <v>24</v>
      </c>
      <c r="C6">
        <v>5</v>
      </c>
      <c r="D6">
        <v>4</v>
      </c>
      <c r="E6">
        <v>1</v>
      </c>
      <c r="F6">
        <v>81.88</v>
      </c>
      <c r="G6" t="s">
        <v>25</v>
      </c>
      <c r="H6" s="4">
        <f>(253.74-26.422)/(1.96^2)</f>
        <v>59.172740524781346</v>
      </c>
    </row>
    <row r="7" spans="1:10">
      <c r="A7">
        <v>2005</v>
      </c>
      <c r="B7" t="s">
        <v>26</v>
      </c>
      <c r="C7">
        <v>6</v>
      </c>
      <c r="D7">
        <v>4</v>
      </c>
      <c r="E7">
        <v>1</v>
      </c>
      <c r="F7">
        <v>104.28</v>
      </c>
      <c r="G7" t="s">
        <v>27</v>
      </c>
      <c r="H7" s="4">
        <f>(435.518-24.969)/(1.96^2)</f>
        <v>106.86927321949189</v>
      </c>
    </row>
    <row r="8" spans="1:10">
      <c r="A8">
        <v>2008</v>
      </c>
      <c r="B8" t="s">
        <v>28</v>
      </c>
      <c r="C8">
        <v>7</v>
      </c>
      <c r="D8">
        <v>5</v>
      </c>
      <c r="E8">
        <v>1</v>
      </c>
      <c r="F8">
        <v>35.74</v>
      </c>
      <c r="G8" t="s">
        <v>29</v>
      </c>
      <c r="H8" s="4">
        <f>(60.081-21.26)/(1.96^2)</f>
        <v>10.105424822990422</v>
      </c>
    </row>
    <row r="9" spans="1:10">
      <c r="A9">
        <v>2008</v>
      </c>
      <c r="B9" t="s">
        <v>30</v>
      </c>
      <c r="C9">
        <v>8</v>
      </c>
      <c r="D9">
        <v>5</v>
      </c>
      <c r="E9">
        <v>1</v>
      </c>
      <c r="F9">
        <v>21.34</v>
      </c>
      <c r="G9" t="s">
        <v>31</v>
      </c>
      <c r="H9" s="4">
        <f>(55.195-8.251)/(1.96^2)</f>
        <v>12.219908371511872</v>
      </c>
    </row>
    <row r="10" spans="1:10">
      <c r="A10">
        <v>2005</v>
      </c>
      <c r="B10" t="s">
        <v>12</v>
      </c>
      <c r="C10">
        <v>9</v>
      </c>
      <c r="D10">
        <v>6</v>
      </c>
      <c r="E10">
        <v>1</v>
      </c>
      <c r="F10">
        <v>35.54</v>
      </c>
      <c r="G10" t="s">
        <v>32</v>
      </c>
      <c r="H10" s="4">
        <f>(79.62-15.864)/(1.96^2)</f>
        <v>16.596209912536445</v>
      </c>
    </row>
    <row r="11" spans="1:10">
      <c r="A11">
        <v>2003</v>
      </c>
      <c r="B11" t="s">
        <v>16</v>
      </c>
      <c r="C11">
        <v>10</v>
      </c>
      <c r="D11">
        <v>6</v>
      </c>
      <c r="E11">
        <v>1</v>
      </c>
      <c r="F11">
        <v>19.27</v>
      </c>
      <c r="G11" t="s">
        <v>33</v>
      </c>
      <c r="H11" s="4">
        <f>(41.77-8.89)/(1.96^2)</f>
        <v>8.5589337775926708</v>
      </c>
    </row>
    <row r="12" spans="1:10">
      <c r="A12" t="s">
        <v>34</v>
      </c>
      <c r="B12" t="s">
        <v>12</v>
      </c>
      <c r="C12">
        <v>11</v>
      </c>
      <c r="D12">
        <v>7</v>
      </c>
      <c r="E12">
        <v>1</v>
      </c>
      <c r="F12">
        <v>41.38</v>
      </c>
      <c r="G12" t="s">
        <v>35</v>
      </c>
      <c r="H12" s="4">
        <f>(80.74-21.208)/(1.96^2)</f>
        <v>15.496668054977093</v>
      </c>
    </row>
    <row r="13" spans="1:10">
      <c r="A13" t="s">
        <v>36</v>
      </c>
      <c r="B13" t="s">
        <v>12</v>
      </c>
      <c r="C13">
        <v>12</v>
      </c>
      <c r="D13">
        <v>7</v>
      </c>
      <c r="E13">
        <v>1</v>
      </c>
      <c r="F13">
        <v>54.03</v>
      </c>
      <c r="G13" t="s">
        <v>37</v>
      </c>
      <c r="H13" s="4">
        <f>(105.809-27.59)/(1.96^2)</f>
        <v>20.361047480216577</v>
      </c>
    </row>
    <row r="14" spans="1:10">
      <c r="A14" t="s">
        <v>38</v>
      </c>
      <c r="B14" t="s">
        <v>16</v>
      </c>
      <c r="C14">
        <v>13</v>
      </c>
      <c r="D14">
        <v>7</v>
      </c>
      <c r="E14">
        <v>1</v>
      </c>
      <c r="F14">
        <v>37.36</v>
      </c>
      <c r="G14" t="s">
        <v>39</v>
      </c>
      <c r="H14" s="4">
        <f>(94.562-14.76)/(1.96^2)</f>
        <v>20.773115368596418</v>
      </c>
    </row>
    <row r="15" spans="1:10">
      <c r="A15" t="s">
        <v>36</v>
      </c>
      <c r="B15" t="s">
        <v>16</v>
      </c>
      <c r="C15">
        <v>14</v>
      </c>
      <c r="D15">
        <v>7</v>
      </c>
      <c r="E15">
        <v>1</v>
      </c>
      <c r="F15">
        <v>39.5</v>
      </c>
      <c r="G15" t="s">
        <v>40</v>
      </c>
      <c r="H15" s="4">
        <f>(100.018-15.6)/(1.96^2)</f>
        <v>21.974698042482302</v>
      </c>
    </row>
    <row r="16" spans="1:10">
      <c r="A16">
        <v>2008</v>
      </c>
      <c r="B16" t="s">
        <v>41</v>
      </c>
      <c r="C16">
        <v>15</v>
      </c>
      <c r="D16">
        <v>8</v>
      </c>
      <c r="E16">
        <v>1</v>
      </c>
      <c r="F16">
        <v>188.5</v>
      </c>
      <c r="G16" t="s">
        <v>42</v>
      </c>
      <c r="H16" s="4">
        <f>(1796.246-19.781)/(1.96^2)</f>
        <v>462.42841524364854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D21" sqref="D21"/>
    </sheetView>
  </sheetViews>
  <sheetFormatPr baseColWidth="10" defaultRowHeight="15"/>
  <sheetData>
    <row r="1" spans="1:7">
      <c r="A1" s="1" t="s">
        <v>4</v>
      </c>
      <c r="B1" s="1" t="s">
        <v>5</v>
      </c>
      <c r="C1" t="s">
        <v>6</v>
      </c>
    </row>
    <row r="2" spans="1:7">
      <c r="B2" s="2" t="s">
        <v>9</v>
      </c>
      <c r="C2" s="3">
        <v>1</v>
      </c>
      <c r="D2" s="3" t="s">
        <v>10</v>
      </c>
      <c r="E2" s="3"/>
      <c r="F2" s="3"/>
      <c r="G2" s="3"/>
    </row>
    <row r="3" spans="1:7">
      <c r="B3" s="3"/>
      <c r="C3" s="3">
        <v>2</v>
      </c>
      <c r="D3" s="3" t="s">
        <v>11</v>
      </c>
      <c r="E3" s="3"/>
      <c r="F3" s="3"/>
      <c r="G3" s="3"/>
    </row>
    <row r="4" spans="1:7">
      <c r="B4" s="3"/>
      <c r="C4" s="3">
        <v>3</v>
      </c>
      <c r="D4" s="3" t="s">
        <v>14</v>
      </c>
      <c r="E4" s="3"/>
      <c r="F4" s="3"/>
      <c r="G4" s="3"/>
    </row>
    <row r="5" spans="1:7">
      <c r="B5" s="3"/>
      <c r="C5" s="3">
        <v>4</v>
      </c>
      <c r="D5" s="3" t="s">
        <v>15</v>
      </c>
      <c r="E5" s="3"/>
      <c r="F5" s="3"/>
      <c r="G5" s="3"/>
    </row>
    <row r="6" spans="1:7">
      <c r="B6" s="3"/>
      <c r="C6" s="3">
        <v>5</v>
      </c>
      <c r="D6" s="3" t="s">
        <v>18</v>
      </c>
      <c r="E6" s="3"/>
      <c r="F6" s="3"/>
      <c r="G6" s="3"/>
    </row>
    <row r="7" spans="1:7">
      <c r="B7" s="3"/>
      <c r="C7" s="3">
        <v>6</v>
      </c>
      <c r="D7" s="3" t="s">
        <v>19</v>
      </c>
      <c r="E7" s="3"/>
      <c r="F7" s="3"/>
      <c r="G7" s="3"/>
    </row>
    <row r="8" spans="1:7">
      <c r="B8" s="3"/>
      <c r="C8" s="3">
        <v>7</v>
      </c>
      <c r="D8" s="3" t="s">
        <v>22</v>
      </c>
      <c r="E8" s="3"/>
      <c r="F8" s="3"/>
      <c r="G8" s="3"/>
    </row>
    <row r="9" spans="1:7">
      <c r="B9" s="3"/>
      <c r="C9" s="3">
        <v>8</v>
      </c>
      <c r="D9" s="3" t="s">
        <v>23</v>
      </c>
      <c r="E9" s="3"/>
      <c r="F9" s="3"/>
      <c r="G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F1EC5-34F7-4704-B8CE-EF222D63F8DD}"/>
</file>

<file path=customXml/itemProps2.xml><?xml version="1.0" encoding="utf-8"?>
<ds:datastoreItem xmlns:ds="http://schemas.openxmlformats.org/officeDocument/2006/customXml" ds:itemID="{C844E7CB-FEC2-41AB-87BB-7EB3832F47A3}"/>
</file>

<file path=customXml/itemProps3.xml><?xml version="1.0" encoding="utf-8"?>
<ds:datastoreItem xmlns:ds="http://schemas.openxmlformats.org/officeDocument/2006/customXml" ds:itemID="{9C4C2F3D-42A3-4466-B01D-F17758A5E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2018-03-01T15:10:59Z</dcterms:created>
  <dcterms:modified xsi:type="dcterms:W3CDTF">2018-03-01T15:28:00Z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