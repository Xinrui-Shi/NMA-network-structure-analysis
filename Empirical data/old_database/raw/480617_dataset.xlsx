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<sst xmlns="http://schemas.openxmlformats.org/spreadsheetml/2006/main" count="50" uniqueCount="40">
  <si>
    <t xml:space="preserve">study year</t>
  </si>
  <si>
    <t xml:space="preserve">study name</t>
  </si>
  <si>
    <t xml:space="preserve"> id</t>
  </si>
  <si>
    <t xml:space="preserve">t1</t>
  </si>
  <si>
    <t xml:space="preserve">t2</t>
  </si>
  <si>
    <t xml:space="preserve">HR</t>
  </si>
  <si>
    <t xml:space="preserve">CILhr</t>
  </si>
  <si>
    <t xml:space="preserve">CIHhr</t>
  </si>
  <si>
    <t xml:space="preserve">se</t>
  </si>
  <si>
    <t xml:space="preserve">effect</t>
  </si>
  <si>
    <t xml:space="preserve">CIL</t>
  </si>
  <si>
    <t xml:space="preserve">CIH</t>
  </si>
  <si>
    <t xml:space="preserve">Benefit</t>
  </si>
  <si>
    <t xml:space="preserve">Outcome:survival</t>
  </si>
  <si>
    <t xml:space="preserve">CALGB (Canellos 1992) </t>
  </si>
  <si>
    <t xml:space="preserve">Treatments</t>
  </si>
  <si>
    <t xml:space="preserve">C(M)OPP/ABVD </t>
  </si>
  <si>
    <t xml:space="preserve">ABVD </t>
  </si>
  <si>
    <t xml:space="preserve">Stanford V </t>
  </si>
  <si>
    <t xml:space="preserve">IIL HD9601</t>
  </si>
  <si>
    <t xml:space="preserve">MOPP/ABV</t>
  </si>
  <si>
    <t xml:space="preserve">MOPP</t>
  </si>
  <si>
    <t xml:space="preserve">C(M)OPP/EBV/CAD </t>
  </si>
  <si>
    <t xml:space="preserve">BNLI (ISRCTN64141244) </t>
  </si>
  <si>
    <t xml:space="preserve">4*BEACOPPesc + 2-4*BEACOPPbase </t>
  </si>
  <si>
    <t xml:space="preserve">SWOG E2496 </t>
  </si>
  <si>
    <t xml:space="preserve">8*BEACOPPesc </t>
  </si>
  <si>
    <t xml:space="preserve">CALGB 8952</t>
  </si>
  <si>
    <t xml:space="preserve">8*BEACOPPbase </t>
  </si>
  <si>
    <t xml:space="preserve">GISL HD2000 </t>
  </si>
  <si>
    <t xml:space="preserve">8*BEACOPP-14 </t>
  </si>
  <si>
    <t xml:space="preserve">6*BEACOPPesc </t>
  </si>
  <si>
    <t xml:space="preserve">GITIL/IIL (Viviani 2011) </t>
  </si>
  <si>
    <t xml:space="preserve">EORTC 20012 </t>
  </si>
  <si>
    <t xml:space="preserve">GHSG HD9 </t>
  </si>
  <si>
    <t xml:space="preserve">GHSG HD9elderly </t>
  </si>
  <si>
    <t xml:space="preserve">NCIC (Connors 1997) </t>
  </si>
  <si>
    <t xml:space="preserve">Intergroup (Glick 1998) </t>
  </si>
  <si>
    <t xml:space="preserve">GHSG HD15 </t>
  </si>
  <si>
    <t xml:space="preserve">GHSG HD12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</si>
</sst>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61"/>
    </font>
    <font>
      <sz val="11"/>
      <color rgb="FF000000"/>
      <name val="ArialMT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E6F2"/>
        <bgColor rgb="FFCC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RowHeight="15" zeroHeight="false" outlineLevelRow="0" outlineLevelCol="0"/>
  <cols>
    <col collapsed="false" customWidth="true" hidden="false" outlineLevel="0" max="1" min="1" style="1" width="10.87"/>
    <col collapsed="false" customWidth="true" hidden="false" outlineLevel="0" max="2" min="2" style="2" width="23"/>
    <col collapsed="false" customWidth="true" hidden="false" outlineLevel="0" max="15" min="3" style="1" width="10.87"/>
    <col collapsed="false" customWidth="true" hidden="false" outlineLevel="0" max="16" min="16" style="1" width="2.62"/>
    <col collapsed="false" customWidth="true" hidden="false" outlineLevel="0" max="17" min="17" style="1" width="33.87"/>
    <col collapsed="false" customWidth="true" hidden="false" outlineLevel="0" max="1025" min="18" style="1" width="10.87"/>
  </cols>
  <sheetData>
    <row r="1" customFormat="false" ht="15.75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" t="s">
        <v>11</v>
      </c>
      <c r="M1" s="6" t="s">
        <v>12</v>
      </c>
      <c r="N1" s="6" t="s">
        <v>13</v>
      </c>
      <c r="O1" s="6"/>
      <c r="P1" s="6"/>
      <c r="Q1" s="6"/>
    </row>
    <row r="2" customFormat="false" ht="15" hidden="false" customHeight="false" outlineLevel="0" collapsed="false">
      <c r="A2" s="1" t="n">
        <v>1992</v>
      </c>
      <c r="B2" s="7" t="s">
        <v>14</v>
      </c>
      <c r="C2" s="1" t="n">
        <v>1</v>
      </c>
      <c r="D2" s="1" t="n">
        <v>1</v>
      </c>
      <c r="E2" s="1" t="n">
        <v>2</v>
      </c>
      <c r="F2" s="8" t="n">
        <v>1</v>
      </c>
      <c r="G2" s="1" t="n">
        <v>0.73</v>
      </c>
      <c r="H2" s="1" t="n">
        <v>1.37</v>
      </c>
      <c r="I2" s="1" t="n">
        <f aca="false">(L2-K2)/(2*1.96)</f>
        <v>0.160592215479524</v>
      </c>
      <c r="J2" s="1" t="n">
        <f aca="false">LN(F2)</f>
        <v>0</v>
      </c>
      <c r="K2" s="1" t="n">
        <f aca="false">LN(G2)</f>
        <v>-0.3147107448397</v>
      </c>
      <c r="L2" s="1" t="n">
        <f aca="false">LN(H2)</f>
        <v>0.314810739840034</v>
      </c>
      <c r="O2" s="9" t="s">
        <v>15</v>
      </c>
      <c r="P2" s="10" t="n">
        <v>1</v>
      </c>
      <c r="Q2" s="11" t="s">
        <v>16</v>
      </c>
    </row>
    <row r="3" customFormat="false" ht="15" hidden="false" customHeight="false" outlineLevel="0" collapsed="false">
      <c r="A3" s="1" t="n">
        <v>1992</v>
      </c>
      <c r="B3" s="7" t="s">
        <v>14</v>
      </c>
      <c r="C3" s="1" t="n">
        <v>1</v>
      </c>
      <c r="D3" s="1" t="n">
        <v>5</v>
      </c>
      <c r="E3" s="1" t="n">
        <v>2</v>
      </c>
      <c r="F3" s="8" t="n">
        <v>1.28</v>
      </c>
      <c r="G3" s="1" t="n">
        <v>0.93</v>
      </c>
      <c r="H3" s="1" t="n">
        <v>1.77</v>
      </c>
      <c r="I3" s="1" t="n">
        <f aca="false">(L3-K3)/(2*1.96)</f>
        <v>0.164170979444024</v>
      </c>
      <c r="J3" s="1" t="n">
        <f aca="false">LN(F3)</f>
        <v>0.246860077931526</v>
      </c>
      <c r="K3" s="1" t="n">
        <f aca="false">LN(G3)</f>
        <v>-0.0725706928348354</v>
      </c>
      <c r="L3" s="1" t="n">
        <f aca="false">LN(H3)</f>
        <v>0.570979546585738</v>
      </c>
      <c r="N3" s="6"/>
      <c r="O3" s="12"/>
      <c r="P3" s="13" t="n">
        <v>2</v>
      </c>
      <c r="Q3" s="14" t="s">
        <v>17</v>
      </c>
    </row>
    <row r="4" customFormat="false" ht="15" hidden="false" customHeight="false" outlineLevel="0" collapsed="false">
      <c r="A4" s="1" t="n">
        <v>1992</v>
      </c>
      <c r="B4" s="7" t="s">
        <v>14</v>
      </c>
      <c r="C4" s="1" t="n">
        <v>1</v>
      </c>
      <c r="D4" s="1" t="n">
        <v>5</v>
      </c>
      <c r="E4" s="1" t="n">
        <v>1</v>
      </c>
      <c r="F4" s="8" t="n">
        <v>1.28</v>
      </c>
      <c r="G4" s="1" t="n">
        <v>0.82</v>
      </c>
      <c r="H4" s="1" t="n">
        <v>2.02</v>
      </c>
      <c r="I4" s="1" t="n">
        <f aca="false">SQRT(I2^2+I3^2)</f>
        <v>0.229656199925523</v>
      </c>
      <c r="J4" s="1" t="n">
        <f aca="false">J3-J2</f>
        <v>0.246860077931526</v>
      </c>
      <c r="N4" s="6"/>
      <c r="O4" s="12"/>
      <c r="P4" s="13" t="n">
        <v>3</v>
      </c>
      <c r="Q4" s="14" t="s">
        <v>18</v>
      </c>
    </row>
    <row r="5" customFormat="false" ht="15" hidden="false" customHeight="false" outlineLevel="0" collapsed="false">
      <c r="A5" s="1" t="n">
        <v>1996</v>
      </c>
      <c r="B5" s="7" t="s">
        <v>19</v>
      </c>
      <c r="C5" s="1" t="n">
        <v>2</v>
      </c>
      <c r="D5" s="1" t="n">
        <v>3</v>
      </c>
      <c r="E5" s="1" t="n">
        <v>2</v>
      </c>
      <c r="F5" s="8" t="n">
        <v>1.23</v>
      </c>
      <c r="G5" s="1" t="n">
        <v>0.8</v>
      </c>
      <c r="H5" s="1" t="n">
        <v>1.89</v>
      </c>
      <c r="I5" s="1" t="n">
        <f aca="false">(L5-K5)/(2*1.96)</f>
        <v>0.219316423567796</v>
      </c>
      <c r="J5" s="1" t="n">
        <f aca="false">LN(F5)</f>
        <v>0.207014169384326</v>
      </c>
      <c r="K5" s="1" t="n">
        <f aca="false">LN(G5)</f>
        <v>-0.22314355131421</v>
      </c>
      <c r="L5" s="1" t="n">
        <f aca="false">LN(H5)</f>
        <v>0.636576829071551</v>
      </c>
      <c r="N5" s="6"/>
      <c r="O5" s="12"/>
      <c r="P5" s="13" t="n">
        <v>4</v>
      </c>
      <c r="Q5" s="14" t="s">
        <v>20</v>
      </c>
    </row>
    <row r="6" customFormat="false" ht="15" hidden="false" customHeight="false" outlineLevel="0" collapsed="false">
      <c r="A6" s="1" t="n">
        <v>1996</v>
      </c>
      <c r="B6" s="7" t="s">
        <v>19</v>
      </c>
      <c r="C6" s="1" t="n">
        <v>2</v>
      </c>
      <c r="D6" s="1" t="n">
        <v>6</v>
      </c>
      <c r="E6" s="1" t="n">
        <v>2</v>
      </c>
      <c r="F6" s="8" t="n">
        <v>1.59</v>
      </c>
      <c r="G6" s="1" t="n">
        <v>0.97</v>
      </c>
      <c r="H6" s="1" t="n">
        <v>2.6</v>
      </c>
      <c r="I6" s="1" t="n">
        <f aca="false">(L6-K6)/(2*1.96)</f>
        <v>0.251523125640853</v>
      </c>
      <c r="J6" s="1" t="n">
        <f aca="false">LN(F6)</f>
        <v>0.46373401623214</v>
      </c>
      <c r="K6" s="1" t="n">
        <f aca="false">LN(G6)</f>
        <v>-0.0304592074847086</v>
      </c>
      <c r="L6" s="1" t="n">
        <f aca="false">LN(H6)</f>
        <v>0.955511445027436</v>
      </c>
      <c r="O6" s="15"/>
      <c r="P6" s="13" t="n">
        <v>5</v>
      </c>
      <c r="Q6" s="14" t="s">
        <v>21</v>
      </c>
    </row>
    <row r="7" customFormat="false" ht="15" hidden="false" customHeight="false" outlineLevel="0" collapsed="false">
      <c r="A7" s="1" t="n">
        <v>1996</v>
      </c>
      <c r="B7" s="7" t="s">
        <v>19</v>
      </c>
      <c r="C7" s="1" t="n">
        <v>2</v>
      </c>
      <c r="D7" s="1" t="n">
        <v>6</v>
      </c>
      <c r="E7" s="1" t="n">
        <v>3</v>
      </c>
      <c r="F7" s="8" t="n">
        <v>1.29</v>
      </c>
      <c r="G7" s="1" t="n">
        <v>0.67</v>
      </c>
      <c r="H7" s="1" t="n">
        <v>2.47</v>
      </c>
      <c r="I7" s="1" t="n">
        <f aca="false">SQRT(I6^2+I5^2)</f>
        <v>0.333711816360634</v>
      </c>
      <c r="J7" s="1" t="n">
        <f aca="false">J6-J5</f>
        <v>0.256719846847814</v>
      </c>
      <c r="O7" s="15"/>
      <c r="P7" s="13" t="n">
        <v>6</v>
      </c>
      <c r="Q7" s="14" t="s">
        <v>22</v>
      </c>
    </row>
    <row r="8" customFormat="false" ht="15" hidden="false" customHeight="false" outlineLevel="0" collapsed="false">
      <c r="A8" s="1" t="n">
        <v>1998</v>
      </c>
      <c r="B8" s="7" t="s">
        <v>23</v>
      </c>
      <c r="C8" s="1" t="n">
        <v>3</v>
      </c>
      <c r="D8" s="1" t="n">
        <v>3</v>
      </c>
      <c r="E8" s="1" t="n">
        <v>2</v>
      </c>
      <c r="F8" s="8" t="n">
        <v>0.76</v>
      </c>
      <c r="G8" s="1" t="n">
        <v>0.42</v>
      </c>
      <c r="H8" s="1" t="n">
        <v>1.4</v>
      </c>
      <c r="I8" s="1" t="n">
        <f aca="false">(L8-K8)/(2*1.96)</f>
        <v>0.307135919470902</v>
      </c>
      <c r="J8" s="1" t="n">
        <f aca="false">LN(F8)</f>
        <v>-0.27443684570176</v>
      </c>
      <c r="K8" s="1" t="n">
        <f aca="false">LN(G8)</f>
        <v>-0.867500567704723</v>
      </c>
      <c r="L8" s="1" t="n">
        <f aca="false">LN(H8)</f>
        <v>0.336472236621213</v>
      </c>
      <c r="O8" s="15"/>
      <c r="P8" s="13" t="n">
        <v>7</v>
      </c>
      <c r="Q8" s="14" t="s">
        <v>24</v>
      </c>
    </row>
    <row r="9" customFormat="false" ht="15" hidden="false" customHeight="false" outlineLevel="0" collapsed="false">
      <c r="A9" s="1" t="n">
        <v>2013</v>
      </c>
      <c r="B9" s="7" t="s">
        <v>25</v>
      </c>
      <c r="C9" s="1" t="n">
        <v>4</v>
      </c>
      <c r="D9" s="1" t="n">
        <v>3</v>
      </c>
      <c r="E9" s="1" t="n">
        <v>2</v>
      </c>
      <c r="F9" s="8" t="n">
        <v>1.03</v>
      </c>
      <c r="G9" s="1" t="n">
        <v>0.7</v>
      </c>
      <c r="H9" s="1" t="n">
        <v>1.53</v>
      </c>
      <c r="I9" s="1" t="n">
        <f aca="false">(L9-K9)/(2*1.96)</f>
        <v>0.199475173301805</v>
      </c>
      <c r="J9" s="1" t="n">
        <f aca="false">LN(F9)</f>
        <v>0.0295588022415444</v>
      </c>
      <c r="K9" s="1" t="n">
        <f aca="false">LN(G9)</f>
        <v>-0.356674943938732</v>
      </c>
      <c r="L9" s="1" t="n">
        <f aca="false">LN(H9)</f>
        <v>0.425267735404344</v>
      </c>
      <c r="O9" s="15"/>
      <c r="P9" s="13" t="n">
        <v>8</v>
      </c>
      <c r="Q9" s="14" t="s">
        <v>26</v>
      </c>
    </row>
    <row r="10" customFormat="false" ht="15" hidden="false" customHeight="false" outlineLevel="0" collapsed="false">
      <c r="A10" s="1" t="n">
        <v>1990</v>
      </c>
      <c r="B10" s="7" t="s">
        <v>27</v>
      </c>
      <c r="C10" s="1" t="n">
        <v>5</v>
      </c>
      <c r="D10" s="1" t="n">
        <v>4</v>
      </c>
      <c r="E10" s="1" t="n">
        <v>2</v>
      </c>
      <c r="F10" s="8" t="n">
        <v>1.03</v>
      </c>
      <c r="G10" s="1" t="n">
        <v>0.77</v>
      </c>
      <c r="H10" s="1" t="n">
        <v>1.38</v>
      </c>
      <c r="I10" s="1" t="n">
        <f aca="false">(L10-K10)/(2*1.96)</f>
        <v>0.14883884267947</v>
      </c>
      <c r="J10" s="1" t="n">
        <f aca="false">LN(F10)</f>
        <v>0.0295588022415444</v>
      </c>
      <c r="K10" s="1" t="n">
        <f aca="false">LN(G10)</f>
        <v>-0.261364764134407</v>
      </c>
      <c r="L10" s="1" t="n">
        <f aca="false">LN(H10)</f>
        <v>0.322083499169113</v>
      </c>
      <c r="O10" s="15"/>
      <c r="P10" s="13" t="n">
        <v>9</v>
      </c>
      <c r="Q10" s="14" t="s">
        <v>28</v>
      </c>
    </row>
    <row r="11" customFormat="false" ht="15" hidden="false" customHeight="false" outlineLevel="0" collapsed="false">
      <c r="A11" s="1" t="n">
        <v>2000</v>
      </c>
      <c r="B11" s="7" t="s">
        <v>29</v>
      </c>
      <c r="C11" s="1" t="n">
        <v>6</v>
      </c>
      <c r="D11" s="1" t="n">
        <v>6</v>
      </c>
      <c r="E11" s="1" t="n">
        <v>2</v>
      </c>
      <c r="F11" s="8" t="n">
        <v>0.89</v>
      </c>
      <c r="G11" s="1" t="n">
        <v>0.45</v>
      </c>
      <c r="H11" s="1" t="n">
        <v>1.75</v>
      </c>
      <c r="I11" s="1" t="n">
        <f aca="false">(L11-K11)/(2*1.96)</f>
        <v>0.34646007248806</v>
      </c>
      <c r="J11" s="1" t="n">
        <f aca="false">LN(F11)</f>
        <v>-0.116533816255952</v>
      </c>
      <c r="K11" s="1" t="n">
        <f aca="false">LN(G11)</f>
        <v>-0.798507696217772</v>
      </c>
      <c r="L11" s="1" t="n">
        <f aca="false">LN(H11)</f>
        <v>0.559615787935423</v>
      </c>
      <c r="O11" s="15"/>
      <c r="P11" s="13" t="n">
        <v>10</v>
      </c>
      <c r="Q11" s="14" t="s">
        <v>30</v>
      </c>
    </row>
    <row r="12" customFormat="false" ht="15.75" hidden="false" customHeight="false" outlineLevel="0" collapsed="false">
      <c r="A12" s="1" t="n">
        <v>2000</v>
      </c>
      <c r="B12" s="7" t="s">
        <v>29</v>
      </c>
      <c r="C12" s="1" t="n">
        <v>6</v>
      </c>
      <c r="D12" s="1" t="n">
        <v>7</v>
      </c>
      <c r="E12" s="1" t="n">
        <v>2</v>
      </c>
      <c r="F12" s="8" t="n">
        <v>0.93</v>
      </c>
      <c r="G12" s="1" t="n">
        <v>0.45</v>
      </c>
      <c r="H12" s="1" t="n">
        <v>1.95</v>
      </c>
      <c r="I12" s="1" t="n">
        <f aca="false">(L12-K12)/(2*1.96)</f>
        <v>0.374065578773833</v>
      </c>
      <c r="J12" s="1" t="n">
        <f aca="false">LN(F12)</f>
        <v>-0.0725706928348354</v>
      </c>
      <c r="K12" s="1" t="n">
        <f aca="false">LN(G12)</f>
        <v>-0.798507696217772</v>
      </c>
      <c r="L12" s="1" t="n">
        <f aca="false">LN(H12)</f>
        <v>0.667829372575656</v>
      </c>
      <c r="O12" s="16"/>
      <c r="P12" s="17" t="n">
        <v>11</v>
      </c>
      <c r="Q12" s="18" t="s">
        <v>31</v>
      </c>
    </row>
    <row r="13" customFormat="false" ht="15" hidden="false" customHeight="false" outlineLevel="0" collapsed="false">
      <c r="A13" s="1" t="n">
        <v>2000</v>
      </c>
      <c r="B13" s="7" t="s">
        <v>29</v>
      </c>
      <c r="C13" s="1" t="n">
        <v>6</v>
      </c>
      <c r="D13" s="1" t="n">
        <v>6</v>
      </c>
      <c r="E13" s="1" t="n">
        <v>7</v>
      </c>
      <c r="F13" s="8" t="n">
        <v>0.89</v>
      </c>
      <c r="G13" s="1" t="n">
        <v>0.32</v>
      </c>
      <c r="H13" s="1" t="n">
        <v>2.49</v>
      </c>
      <c r="I13" s="1" t="n">
        <f aca="false">SQRT(I12^2+I11^2)</f>
        <v>0.509862372657401</v>
      </c>
      <c r="J13" s="1" t="n">
        <f aca="false">J11-J12</f>
        <v>-0.0439631234211161</v>
      </c>
      <c r="O13" s="19"/>
      <c r="P13" s="20"/>
      <c r="Q13" s="21"/>
    </row>
    <row r="14" customFormat="false" ht="15" hidden="false" customHeight="false" outlineLevel="0" collapsed="false">
      <c r="A14" s="1" t="n">
        <v>2011</v>
      </c>
      <c r="B14" s="7" t="s">
        <v>32</v>
      </c>
      <c r="C14" s="1" t="n">
        <v>7</v>
      </c>
      <c r="D14" s="1" t="n">
        <v>7</v>
      </c>
      <c r="E14" s="1" t="n">
        <v>2</v>
      </c>
      <c r="F14" s="8" t="n">
        <v>0.75</v>
      </c>
      <c r="G14" s="1" t="n">
        <v>0.39</v>
      </c>
      <c r="H14" s="1" t="n">
        <v>1.43</v>
      </c>
      <c r="I14" s="1" t="n">
        <f aca="false">(L14-K14)/(2*1.96)</f>
        <v>0.331449740849556</v>
      </c>
      <c r="J14" s="1" t="n">
        <f aca="false">LN(F14)</f>
        <v>-0.287682072451781</v>
      </c>
      <c r="K14" s="1" t="n">
        <f aca="false">LN(G14)</f>
        <v>-0.941608539858445</v>
      </c>
      <c r="L14" s="1" t="n">
        <f aca="false">LN(H14)</f>
        <v>0.357674444271816</v>
      </c>
      <c r="O14" s="19"/>
      <c r="P14" s="20"/>
      <c r="Q14" s="21"/>
    </row>
    <row r="15" customFormat="false" ht="15" hidden="false" customHeight="false" outlineLevel="0" collapsed="false">
      <c r="A15" s="1" t="n">
        <v>2003</v>
      </c>
      <c r="B15" s="7" t="s">
        <v>33</v>
      </c>
      <c r="C15" s="1" t="n">
        <v>8</v>
      </c>
      <c r="D15" s="1" t="n">
        <v>7</v>
      </c>
      <c r="E15" s="1" t="n">
        <v>2</v>
      </c>
      <c r="F15" s="8" t="n">
        <v>0.71</v>
      </c>
      <c r="G15" s="1" t="n">
        <v>0.42</v>
      </c>
      <c r="H15" s="1" t="n">
        <v>1.21</v>
      </c>
      <c r="I15" s="1" t="n">
        <f aca="false">(L15-K15)/(2*1.96)</f>
        <v>0.269928807988105</v>
      </c>
      <c r="J15" s="1" t="n">
        <f aca="false">LN(F15)</f>
        <v>-0.342490308946776</v>
      </c>
      <c r="K15" s="1" t="n">
        <f aca="false">LN(G15)</f>
        <v>-0.867500567704723</v>
      </c>
      <c r="L15" s="1" t="n">
        <f aca="false">LN(H15)</f>
        <v>0.19062035960865</v>
      </c>
      <c r="O15" s="19"/>
      <c r="P15" s="20"/>
      <c r="Q15" s="21"/>
    </row>
    <row r="16" customFormat="false" ht="15" hidden="false" customHeight="false" outlineLevel="0" collapsed="false">
      <c r="A16" s="1" t="n">
        <v>1993</v>
      </c>
      <c r="B16" s="7" t="s">
        <v>34</v>
      </c>
      <c r="C16" s="1" t="n">
        <v>9</v>
      </c>
      <c r="D16" s="1" t="n">
        <v>8</v>
      </c>
      <c r="E16" s="1" t="n">
        <v>1</v>
      </c>
      <c r="F16" s="8" t="n">
        <v>0.49</v>
      </c>
      <c r="G16" s="1" t="n">
        <v>0.38</v>
      </c>
      <c r="H16" s="1" t="n">
        <v>0.64</v>
      </c>
      <c r="I16" s="1" t="n">
        <f aca="false">(L16-K16)/(2*1.96)</f>
        <v>0.132983909090124</v>
      </c>
      <c r="J16" s="1" t="n">
        <f aca="false">LN(F16)</f>
        <v>-0.713349887877465</v>
      </c>
      <c r="K16" s="1" t="n">
        <f aca="false">LN(G16)</f>
        <v>-0.967584026261706</v>
      </c>
      <c r="L16" s="1" t="n">
        <f aca="false">LN(H16)</f>
        <v>-0.446287102628419</v>
      </c>
    </row>
    <row r="17" customFormat="false" ht="15" hidden="false" customHeight="false" outlineLevel="0" collapsed="false">
      <c r="A17" s="1" t="n">
        <v>1993</v>
      </c>
      <c r="B17" s="7" t="s">
        <v>34</v>
      </c>
      <c r="C17" s="1" t="n">
        <v>9</v>
      </c>
      <c r="D17" s="1" t="n">
        <v>9</v>
      </c>
      <c r="E17" s="1" t="n">
        <v>8</v>
      </c>
      <c r="F17" s="8" t="n">
        <v>1.68</v>
      </c>
      <c r="G17" s="1" t="n">
        <v>1.11</v>
      </c>
      <c r="H17" s="1" t="n">
        <v>2.54</v>
      </c>
      <c r="I17" s="1" t="n">
        <f aca="false">SQRT(I16^2+I18^2)</f>
        <v>0.207215788175042</v>
      </c>
      <c r="J17" s="1" t="n">
        <f aca="false">J18-J16</f>
        <v>0.490206336563255</v>
      </c>
      <c r="K17" s="1" t="n">
        <f aca="false">LN(G17)</f>
        <v>0.104360015324243</v>
      </c>
      <c r="L17" s="1" t="n">
        <f aca="false">LN(H17)</f>
        <v>0.932164081030445</v>
      </c>
    </row>
    <row r="18" customFormat="false" ht="15" hidden="false" customHeight="false" outlineLevel="0" collapsed="false">
      <c r="A18" s="1" t="n">
        <v>1993</v>
      </c>
      <c r="B18" s="7" t="s">
        <v>34</v>
      </c>
      <c r="C18" s="1" t="n">
        <v>9</v>
      </c>
      <c r="D18" s="1" t="n">
        <v>9</v>
      </c>
      <c r="E18" s="1" t="n">
        <v>1</v>
      </c>
      <c r="F18" s="8" t="n">
        <v>0.8</v>
      </c>
      <c r="G18" s="1" t="n">
        <v>0.59</v>
      </c>
      <c r="H18" s="1" t="n">
        <v>1.1</v>
      </c>
      <c r="I18" s="1" t="n">
        <f aca="false">(L18-K18)/(2*1.96)</f>
        <v>0.158914010685382</v>
      </c>
      <c r="J18" s="1" t="n">
        <f aca="false">LN(F18)</f>
        <v>-0.22314355131421</v>
      </c>
      <c r="K18" s="1" t="n">
        <f aca="false">LN(G18)</f>
        <v>-0.527632742082372</v>
      </c>
      <c r="L18" s="1" t="n">
        <f aca="false">LN(H18)</f>
        <v>0.0953101798043249</v>
      </c>
    </row>
    <row r="19" customFormat="false" ht="15" hidden="false" customHeight="false" outlineLevel="0" collapsed="false">
      <c r="A19" s="1" t="n">
        <v>1993</v>
      </c>
      <c r="B19" s="7" t="s">
        <v>35</v>
      </c>
      <c r="C19" s="1" t="n">
        <v>10</v>
      </c>
      <c r="D19" s="1" t="n">
        <v>9</v>
      </c>
      <c r="E19" s="1" t="n">
        <v>1</v>
      </c>
      <c r="F19" s="8" t="n">
        <v>1.18</v>
      </c>
      <c r="G19" s="1" t="n">
        <v>0.61</v>
      </c>
      <c r="H19" s="1" t="n">
        <v>2.3</v>
      </c>
      <c r="I19" s="1" t="n">
        <f aca="false">(L19-K19)/(2*1.96)</f>
        <v>0.338572817538236</v>
      </c>
      <c r="J19" s="1" t="n">
        <f aca="false">LN(F19)</f>
        <v>0.165514438477573</v>
      </c>
      <c r="K19" s="1" t="n">
        <f aca="false">LN(G19)</f>
        <v>-0.49429632181478</v>
      </c>
      <c r="L19" s="1" t="n">
        <f aca="false">LN(H19)</f>
        <v>0.832909122935104</v>
      </c>
    </row>
    <row r="20" customFormat="false" ht="15" hidden="false" customHeight="false" outlineLevel="0" collapsed="false">
      <c r="A20" s="1" t="n">
        <v>1997</v>
      </c>
      <c r="B20" s="7" t="s">
        <v>36</v>
      </c>
      <c r="C20" s="1" t="n">
        <v>11</v>
      </c>
      <c r="D20" s="1" t="n">
        <v>4</v>
      </c>
      <c r="E20" s="1" t="n">
        <v>1</v>
      </c>
      <c r="F20" s="8" t="n">
        <v>1.11</v>
      </c>
      <c r="G20" s="1" t="n">
        <v>0.63</v>
      </c>
      <c r="H20" s="1" t="n">
        <v>1.95</v>
      </c>
      <c r="I20" s="1" t="n">
        <f aca="false">(L20-K20)/(2*1.96)</f>
        <v>0.288230824533728</v>
      </c>
      <c r="J20" s="1" t="n">
        <f aca="false">LN(F20)</f>
        <v>0.104360015324243</v>
      </c>
      <c r="K20" s="1" t="n">
        <f aca="false">LN(G20)</f>
        <v>-0.462035459596559</v>
      </c>
      <c r="L20" s="1" t="n">
        <f aca="false">LN(H20)</f>
        <v>0.667829372575656</v>
      </c>
    </row>
    <row r="21" customFormat="false" ht="15" hidden="false" customHeight="false" outlineLevel="0" collapsed="false">
      <c r="A21" s="1" t="n">
        <v>1998</v>
      </c>
      <c r="B21" s="7" t="s">
        <v>37</v>
      </c>
      <c r="C21" s="1" t="n">
        <v>12</v>
      </c>
      <c r="D21" s="1" t="n">
        <v>4</v>
      </c>
      <c r="E21" s="1" t="n">
        <v>1</v>
      </c>
      <c r="F21" s="8" t="n">
        <v>0.7</v>
      </c>
      <c r="G21" s="1" t="n">
        <v>0.51</v>
      </c>
      <c r="H21" s="1" t="n">
        <v>0.95</v>
      </c>
      <c r="I21" s="1" t="n">
        <f aca="false">(L21-K21)/(2*1.96)</f>
        <v>0.158686545631688</v>
      </c>
      <c r="J21" s="1" t="n">
        <f aca="false">LN(F21)</f>
        <v>-0.356674943938732</v>
      </c>
      <c r="K21" s="1" t="n">
        <f aca="false">LN(G21)</f>
        <v>-0.673344553263766</v>
      </c>
      <c r="L21" s="1" t="n">
        <f aca="false">LN(H21)</f>
        <v>-0.0512932943875505</v>
      </c>
    </row>
    <row r="22" customFormat="false" ht="15" hidden="false" customHeight="false" outlineLevel="0" collapsed="false">
      <c r="A22" s="1" t="n">
        <v>2003</v>
      </c>
      <c r="B22" s="7" t="s">
        <v>38</v>
      </c>
      <c r="C22" s="1" t="n">
        <v>13</v>
      </c>
      <c r="D22" s="1" t="n">
        <v>10</v>
      </c>
      <c r="E22" s="1" t="n">
        <v>11</v>
      </c>
      <c r="F22" s="8" t="n">
        <v>1.14</v>
      </c>
      <c r="G22" s="1" t="n">
        <v>0.66</v>
      </c>
      <c r="H22" s="1" t="n">
        <v>1.97</v>
      </c>
      <c r="I22" s="1" t="n">
        <f aca="false">(L22-K22)/(2*1.96)</f>
        <v>0.278966578242746</v>
      </c>
      <c r="J22" s="1" t="n">
        <f aca="false">LN(F22)</f>
        <v>0.131028262406404</v>
      </c>
      <c r="K22" s="1" t="n">
        <f aca="false">LN(G22)</f>
        <v>-0.415515443961666</v>
      </c>
      <c r="L22" s="1" t="n">
        <f aca="false">LN(H22)</f>
        <v>0.678033542749897</v>
      </c>
    </row>
    <row r="23" customFormat="false" ht="15" hidden="false" customHeight="false" outlineLevel="0" collapsed="false">
      <c r="A23" s="1" t="n">
        <v>2003</v>
      </c>
      <c r="B23" s="7" t="s">
        <v>38</v>
      </c>
      <c r="C23" s="1" t="n">
        <v>13</v>
      </c>
      <c r="D23" s="1" t="n">
        <v>11</v>
      </c>
      <c r="E23" s="1" t="n">
        <v>8</v>
      </c>
      <c r="F23" s="8" t="n">
        <v>0.6</v>
      </c>
      <c r="G23" s="1" t="n">
        <v>0.41</v>
      </c>
      <c r="H23" s="1" t="n">
        <v>0.88</v>
      </c>
      <c r="I23" s="1" t="n">
        <f aca="false">(L23-K23)/(2*1.96)</f>
        <v>0.194837945860688</v>
      </c>
      <c r="J23" s="1" t="n">
        <f aca="false">LN(F23)</f>
        <v>-0.510825623765991</v>
      </c>
      <c r="K23" s="1" t="n">
        <f aca="false">LN(G23)</f>
        <v>-0.891598119283784</v>
      </c>
      <c r="L23" s="1" t="n">
        <f aca="false">LN(H23)</f>
        <v>-0.127833371509885</v>
      </c>
    </row>
    <row r="24" customFormat="false" ht="15" hidden="false" customHeight="false" outlineLevel="0" collapsed="false">
      <c r="A24" s="1" t="n">
        <v>2003</v>
      </c>
      <c r="B24" s="7" t="s">
        <v>38</v>
      </c>
      <c r="C24" s="1" t="n">
        <v>13</v>
      </c>
      <c r="D24" s="1" t="n">
        <v>10</v>
      </c>
      <c r="E24" s="1" t="n">
        <v>8</v>
      </c>
      <c r="F24" s="8" t="n">
        <v>0.68</v>
      </c>
      <c r="G24" s="8" t="n">
        <v>0.45</v>
      </c>
      <c r="H24" s="1" t="n">
        <v>1.01</v>
      </c>
      <c r="I24" s="1" t="n">
        <f aca="false">SQRT(I23^2+I22^2)</f>
        <v>0.340270740622344</v>
      </c>
      <c r="J24" s="1" t="n">
        <f aca="false">J22+J23</f>
        <v>-0.379797361359587</v>
      </c>
      <c r="K24" s="1" t="n">
        <f aca="false">LN(G24)</f>
        <v>-0.798507696217772</v>
      </c>
      <c r="L24" s="1" t="n">
        <f aca="false">LN(H24)</f>
        <v>0.00995033085316809</v>
      </c>
    </row>
    <row r="25" customFormat="false" ht="15" hidden="false" customHeight="false" outlineLevel="0" collapsed="false">
      <c r="A25" s="1" t="n">
        <v>1999</v>
      </c>
      <c r="B25" s="7" t="s">
        <v>39</v>
      </c>
      <c r="C25" s="1" t="n">
        <v>14</v>
      </c>
      <c r="D25" s="1" t="n">
        <v>7</v>
      </c>
      <c r="E25" s="1" t="n">
        <v>8</v>
      </c>
      <c r="F25" s="8" t="n">
        <v>1.14</v>
      </c>
      <c r="G25" s="1" t="n">
        <v>0.83</v>
      </c>
      <c r="H25" s="1" t="n">
        <v>1.56</v>
      </c>
      <c r="I25" s="1" t="n">
        <f aca="false">(L25-K25)/(2*1.96)</f>
        <v>0.160973316186974</v>
      </c>
      <c r="J25" s="1" t="n">
        <f aca="false">LN(F25)</f>
        <v>0.131028262406404</v>
      </c>
      <c r="K25" s="1" t="n">
        <f aca="false">LN(G25)</f>
        <v>-0.186329578191493</v>
      </c>
      <c r="L25" s="1" t="n">
        <f aca="false">LN(H25)</f>
        <v>0.444685821261446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BEED48-179F-421B-9CCC-CF6E8CA4E75F}"/>
</file>

<file path=customXml/itemProps2.xml><?xml version="1.0" encoding="utf-8"?>
<ds:datastoreItem xmlns:ds="http://schemas.openxmlformats.org/officeDocument/2006/customXml" ds:itemID="{FB68A0CB-28E0-47C7-A16A-7CFE3AAA83BE}"/>
</file>

<file path=customXml/itemProps3.xml><?xml version="1.0" encoding="utf-8"?>
<ds:datastoreItem xmlns:ds="http://schemas.openxmlformats.org/officeDocument/2006/customXml" ds:itemID="{B29E2F5E-000C-43D9-A820-6BB16D6A153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SMS</dc:creator>
  <dc:description/>
  <cp:lastModifiedBy>Theodore Papakonstantinou</cp:lastModifiedBy>
  <cp:revision>1</cp:revision>
  <dcterms:created xsi:type="dcterms:W3CDTF">2015-10-26T08:37:28Z</dcterms:created>
  <dcterms:modified xsi:type="dcterms:W3CDTF">2019-04-15T14:19:10Z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0x0101002D837B8920D00D4A8EFA68CF1C62BCD5</vt:lpwstr>
  </property>
</Properties>
</file>