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<sst xmlns="http://schemas.openxmlformats.org/spreadsheetml/2006/main" count="60" uniqueCount="59">
  <si>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</si>
  <si>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</si>
  <si>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</si>
  <si>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</si>
  <si>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</si>
  <si>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yHR</t>
  </si>
  <si>
    <t xml:space="preserve">effect</t>
  </si>
  <si>
    <t xml:space="preserve">CILhr</t>
  </si>
  <si>
    <t xml:space="preserve">CIHhr</t>
  </si>
  <si>
    <t xml:space="preserve">CIL</t>
  </si>
  <si>
    <t xml:space="preserve">CIH</t>
  </si>
  <si>
    <t xml:space="preserve">se</t>
  </si>
  <si>
    <t xml:space="preserve">seHR</t>
  </si>
  <si>
    <t xml:space="preserve">Beneficial</t>
  </si>
  <si>
    <r>
      <rPr>
        <b val="true"/>
        <sz val="11"/>
        <color rgb="FF000000"/>
        <rFont val="Calibri"/>
        <family val="2"/>
        <charset val="1"/>
      </rPr>
      <t xml:space="preserve">Outcome:</t>
    </r>
    <r>
      <rPr>
        <sz val="10"/>
        <rFont val="Arial"/>
        <family val="2"/>
        <charset val="1"/>
      </rPr>
      <t xml:space="preserve"> Overall survival </t>
    </r>
  </si>
  <si>
    <t xml:space="preserve">Conroy</t>
  </si>
  <si>
    <t xml:space="preserve">Berlin</t>
  </si>
  <si>
    <t xml:space="preserve">Treatments</t>
  </si>
  <si>
    <t xml:space="preserve">Gemcitabine</t>
  </si>
  <si>
    <t xml:space="preserve">Riess</t>
  </si>
  <si>
    <t xml:space="preserve">FOLFIRINOX</t>
  </si>
  <si>
    <t xml:space="preserve">Kindler</t>
  </si>
  <si>
    <t xml:space="preserve">Gemcitabine+5FU</t>
  </si>
  <si>
    <t xml:space="preserve">Herrmann</t>
  </si>
  <si>
    <t xml:space="preserve">Gemcitabine+5FU+FA</t>
  </si>
  <si>
    <t xml:space="preserve">Cunningham</t>
  </si>
  <si>
    <t xml:space="preserve">Gemcitabine+Axinitib</t>
  </si>
  <si>
    <t xml:space="preserve">Viret</t>
  </si>
  <si>
    <t xml:space="preserve">Gemcitabine+Capecitabine</t>
  </si>
  <si>
    <t xml:space="preserve">Colucci</t>
  </si>
  <si>
    <t xml:space="preserve">Gemcitabine + Cisplatin</t>
  </si>
  <si>
    <t xml:space="preserve">Oettle</t>
  </si>
  <si>
    <t xml:space="preserve">Gemcitabine +cetuximab</t>
  </si>
  <si>
    <t xml:space="preserve">Philip</t>
  </si>
  <si>
    <t xml:space="preserve">Gemcitabine + Epirubicin+Cisplatin+5FU</t>
  </si>
  <si>
    <t xml:space="preserve">Reni</t>
  </si>
  <si>
    <t xml:space="preserve">Gemcitabine +erlotinib</t>
  </si>
  <si>
    <t xml:space="preserve">Moore</t>
  </si>
  <si>
    <t xml:space="preserve">Gemcitabine +exatecan</t>
  </si>
  <si>
    <t xml:space="preserve">Abou-Alfa</t>
  </si>
  <si>
    <t xml:space="preserve">Gemcitabine + irinotecan</t>
  </si>
  <si>
    <t xml:space="preserve">Oreilley</t>
  </si>
  <si>
    <t xml:space="preserve">Gemcitabine + marismastat</t>
  </si>
  <si>
    <t xml:space="preserve">RochaLima</t>
  </si>
  <si>
    <t xml:space="preserve">Gemcitabine +nab-Pacletaxel</t>
  </si>
  <si>
    <t xml:space="preserve">Bramhall</t>
  </si>
  <si>
    <t xml:space="preserve">Gemcitabine + Oxaliplatin</t>
  </si>
  <si>
    <t xml:space="preserve">VonHoff</t>
  </si>
  <si>
    <t xml:space="preserve">Gemcitabine + premetrexed</t>
  </si>
  <si>
    <t xml:space="preserve">Louvet</t>
  </si>
  <si>
    <t xml:space="preserve">Gemcitabine + sorafenib</t>
  </si>
  <si>
    <t xml:space="preserve">Poplin</t>
  </si>
  <si>
    <t xml:space="preserve">Gemcitabine + tipifarnib</t>
  </si>
  <si>
    <t xml:space="preserve">Goncalves</t>
  </si>
  <si>
    <t xml:space="preserve">Gemcitabine + erlotinib + bevacizumab</t>
  </si>
  <si>
    <t xml:space="preserve">VanCutsem</t>
  </si>
  <si>
    <t xml:space="preserve">Capecitabine + erlotinib</t>
  </si>
  <si>
    <t xml:space="preserve">Heinemann</t>
  </si>
  <si>
    <t xml:space="preserve">effect=HR(t1 vs t2)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</si>
</sst>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3" activeCellId="0" sqref="G3"/>
    </sheetView>
  </sheetViews>
  <sheetFormatPr defaultRowHeight="15" zeroHeight="false" outlineLevelRow="0" outlineLevelCol="0"/>
  <cols>
    <col collapsed="false" customWidth="false" hidden="false" outlineLevel="0" max="12" min="1" style="0" width="11.42"/>
    <col collapsed="false" customWidth="false" hidden="false" outlineLevel="0" max="13" min="13" style="1" width="11.42"/>
    <col collapsed="false" customWidth="false" hidden="false" outlineLevel="0" max="1025" min="14" style="0" width="11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3"/>
      <c r="Q1" s="3"/>
    </row>
    <row r="2" customFormat="false" ht="15" hidden="false" customHeight="false" outlineLevel="0" collapsed="false">
      <c r="A2" s="6" t="n">
        <v>2011</v>
      </c>
      <c r="B2" s="7" t="s">
        <v>15</v>
      </c>
      <c r="C2" s="6" t="n">
        <v>1</v>
      </c>
      <c r="D2" s="6" t="n">
        <v>2</v>
      </c>
      <c r="E2" s="6" t="n">
        <v>1</v>
      </c>
      <c r="F2" s="8" t="n">
        <v>0.57</v>
      </c>
      <c r="G2" s="8" t="n">
        <f aca="false">LN(F2)</f>
        <v>-0.562118918153541</v>
      </c>
      <c r="H2" s="9" t="n">
        <v>0.45</v>
      </c>
      <c r="I2" s="10" t="n">
        <v>0.73</v>
      </c>
      <c r="J2" s="10" t="n">
        <f aca="false">LN(H2)</f>
        <v>-0.798507696217772</v>
      </c>
      <c r="K2" s="10" t="n">
        <f aca="false">LN(I2)</f>
        <v>-0.3147107448397</v>
      </c>
      <c r="L2" s="10" t="n">
        <f aca="false">(K2-J2)/(1.96*2)</f>
        <v>0.123417589637263</v>
      </c>
      <c r="M2" s="8" t="n">
        <f aca="false">(I2-H2)/(1.96*2)</f>
        <v>0.0714285714285714</v>
      </c>
      <c r="N2" s="11"/>
      <c r="O2" s="11"/>
      <c r="P2" s="11"/>
      <c r="Q2" s="11"/>
    </row>
    <row r="3" customFormat="false" ht="15" hidden="false" customHeight="false" outlineLevel="0" collapsed="false">
      <c r="A3" s="6" t="n">
        <v>2002</v>
      </c>
      <c r="B3" s="7" t="s">
        <v>16</v>
      </c>
      <c r="C3" s="6" t="n">
        <v>2</v>
      </c>
      <c r="D3" s="6" t="n">
        <v>3</v>
      </c>
      <c r="E3" s="6" t="n">
        <v>1</v>
      </c>
      <c r="F3" s="8" t="n">
        <v>0.82</v>
      </c>
      <c r="G3" s="8" t="n">
        <f aca="false">LN(F3)</f>
        <v>-0.198450938723838</v>
      </c>
      <c r="H3" s="8" t="n">
        <v>0.65</v>
      </c>
      <c r="I3" s="10" t="n">
        <v>1.03</v>
      </c>
      <c r="J3" s="10" t="n">
        <f aca="false">LN(H3)</f>
        <v>-0.430782916092454</v>
      </c>
      <c r="K3" s="10" t="n">
        <f aca="false">LN(I3)</f>
        <v>0.0295588022415444</v>
      </c>
      <c r="L3" s="10" t="n">
        <f aca="false">(K3-J3)/(1.96*2)</f>
        <v>0.117434111819898</v>
      </c>
      <c r="M3" s="8" t="n">
        <f aca="false">(I3-H3)/(1.96*2)</f>
        <v>0.0969387755102041</v>
      </c>
      <c r="N3" s="11"/>
      <c r="O3" s="12" t="s">
        <v>17</v>
      </c>
      <c r="P3" s="13" t="n">
        <v>1</v>
      </c>
      <c r="Q3" s="14" t="s">
        <v>18</v>
      </c>
      <c r="R3" s="13"/>
      <c r="S3" s="13"/>
    </row>
    <row r="4" customFormat="false" ht="15" hidden="false" customHeight="false" outlineLevel="0" collapsed="false">
      <c r="A4" s="6" t="n">
        <v>2005</v>
      </c>
      <c r="B4" s="7" t="s">
        <v>19</v>
      </c>
      <c r="C4" s="6" t="n">
        <v>3</v>
      </c>
      <c r="D4" s="6" t="n">
        <v>4</v>
      </c>
      <c r="E4" s="6" t="n">
        <v>1</v>
      </c>
      <c r="F4" s="8" t="n">
        <v>1.04</v>
      </c>
      <c r="G4" s="8" t="n">
        <f aca="false">LN(F4)</f>
        <v>0.0392207131532813</v>
      </c>
      <c r="H4" s="8" t="n">
        <v>0.86</v>
      </c>
      <c r="I4" s="10" t="n">
        <v>1.25</v>
      </c>
      <c r="J4" s="10" t="n">
        <f aca="false">LN(H4)</f>
        <v>-0.150822889734584</v>
      </c>
      <c r="K4" s="10" t="n">
        <f aca="false">LN(I4)</f>
        <v>0.22314355131421</v>
      </c>
      <c r="L4" s="10" t="n">
        <f aca="false">(K4-J4)/(1.96*2)</f>
        <v>0.0953996023083657</v>
      </c>
      <c r="M4" s="8" t="n">
        <f aca="false">(I4-H4)/(1.96*2)</f>
        <v>0.0994897959183673</v>
      </c>
      <c r="N4" s="11"/>
      <c r="O4" s="13"/>
      <c r="P4" s="13" t="n">
        <v>2</v>
      </c>
      <c r="Q4" s="14" t="s">
        <v>20</v>
      </c>
      <c r="R4" s="13"/>
      <c r="S4" s="13"/>
    </row>
    <row r="5" customFormat="false" ht="15" hidden="false" customHeight="false" outlineLevel="0" collapsed="false">
      <c r="A5" s="6" t="n">
        <v>2011</v>
      </c>
      <c r="B5" s="6" t="s">
        <v>21</v>
      </c>
      <c r="C5" s="6" t="n">
        <v>4</v>
      </c>
      <c r="D5" s="6" t="n">
        <v>5</v>
      </c>
      <c r="E5" s="6" t="n">
        <v>1</v>
      </c>
      <c r="F5" s="8" t="n">
        <v>1.01</v>
      </c>
      <c r="G5" s="8" t="n">
        <f aca="false">LN(F5)</f>
        <v>0.00995033085316809</v>
      </c>
      <c r="H5" s="8" t="n">
        <v>0.79</v>
      </c>
      <c r="I5" s="10" t="n">
        <v>1.31</v>
      </c>
      <c r="J5" s="10" t="n">
        <f aca="false">LN(H5)</f>
        <v>-0.23572233352107</v>
      </c>
      <c r="K5" s="10" t="n">
        <f aca="false">LN(I5)</f>
        <v>0.27002713721306</v>
      </c>
      <c r="L5" s="10" t="n">
        <f aca="false">(K5-J5)/(1.96*2)</f>
        <v>0.129017722126054</v>
      </c>
      <c r="M5" s="8" t="n">
        <f aca="false">(I5-H5)/(1.96*2)</f>
        <v>0.13265306122449</v>
      </c>
      <c r="N5" s="11"/>
      <c r="O5" s="13"/>
      <c r="P5" s="13" t="n">
        <v>3</v>
      </c>
      <c r="Q5" s="14" t="s">
        <v>22</v>
      </c>
      <c r="R5" s="13"/>
      <c r="S5" s="13"/>
    </row>
    <row r="6" customFormat="false" ht="15" hidden="false" customHeight="false" outlineLevel="0" collapsed="false">
      <c r="A6" s="7" t="n">
        <v>2005</v>
      </c>
      <c r="B6" s="7" t="s">
        <v>23</v>
      </c>
      <c r="C6" s="6" t="n">
        <v>5</v>
      </c>
      <c r="D6" s="6" t="n">
        <v>6</v>
      </c>
      <c r="E6" s="6" t="n">
        <v>1</v>
      </c>
      <c r="F6" s="8" t="n">
        <v>0.89</v>
      </c>
      <c r="G6" s="8" t="n">
        <f aca="false">LN(F6)</f>
        <v>-0.116533816255952</v>
      </c>
      <c r="H6" s="8" t="n">
        <v>0.7</v>
      </c>
      <c r="I6" s="10" t="n">
        <v>1.13</v>
      </c>
      <c r="J6" s="10" t="n">
        <f aca="false">LN(H6)</f>
        <v>-0.356674943938732</v>
      </c>
      <c r="K6" s="10" t="n">
        <f aca="false">LN(I6)</f>
        <v>0.122217632724249</v>
      </c>
      <c r="L6" s="10" t="n">
        <f aca="false">(K6-J6)/(1.96*2)</f>
        <v>0.122166473638516</v>
      </c>
      <c r="M6" s="8" t="n">
        <f aca="false">(I6-H6)/(1.96*2)</f>
        <v>0.10969387755102</v>
      </c>
      <c r="N6" s="11"/>
      <c r="O6" s="13"/>
      <c r="P6" s="13" t="n">
        <v>4</v>
      </c>
      <c r="Q6" s="14" t="s">
        <v>24</v>
      </c>
      <c r="R6" s="13"/>
      <c r="S6" s="13"/>
    </row>
    <row r="7" customFormat="false" ht="15" hidden="false" customHeight="false" outlineLevel="0" collapsed="false">
      <c r="A7" s="6" t="n">
        <v>2009</v>
      </c>
      <c r="B7" s="7" t="s">
        <v>25</v>
      </c>
      <c r="C7" s="6" t="n">
        <v>6</v>
      </c>
      <c r="D7" s="6" t="n">
        <v>6</v>
      </c>
      <c r="E7" s="6" t="n">
        <v>1</v>
      </c>
      <c r="F7" s="8" t="n">
        <v>0.78</v>
      </c>
      <c r="G7" s="8" t="n">
        <f aca="false">LN(F7)</f>
        <v>-0.2484613592985</v>
      </c>
      <c r="H7" s="8" t="n">
        <v>0.66</v>
      </c>
      <c r="I7" s="10" t="n">
        <v>0.93</v>
      </c>
      <c r="J7" s="10" t="n">
        <f aca="false">LN(H7)</f>
        <v>-0.415515443961666</v>
      </c>
      <c r="K7" s="10" t="n">
        <f aca="false">LN(I7)</f>
        <v>-0.0725706928348354</v>
      </c>
      <c r="L7" s="10" t="n">
        <f aca="false">(K7-J7)/(1.96*2)</f>
        <v>0.0874859058997016</v>
      </c>
      <c r="M7" s="8" t="n">
        <f aca="false">(I7-H7)/(1.96*2)</f>
        <v>0.0688775510204082</v>
      </c>
      <c r="N7" s="11"/>
      <c r="O7" s="13"/>
      <c r="P7" s="13" t="n">
        <v>5</v>
      </c>
      <c r="Q7" s="14" t="s">
        <v>26</v>
      </c>
      <c r="R7" s="13"/>
      <c r="S7" s="13"/>
    </row>
    <row r="8" customFormat="false" ht="15" hidden="false" customHeight="false" outlineLevel="0" collapsed="false">
      <c r="A8" s="6" t="n">
        <v>2004</v>
      </c>
      <c r="B8" s="6" t="s">
        <v>27</v>
      </c>
      <c r="C8" s="6" t="n">
        <v>7</v>
      </c>
      <c r="D8" s="6" t="n">
        <v>7</v>
      </c>
      <c r="E8" s="6" t="n">
        <v>1</v>
      </c>
      <c r="F8" s="8" t="n">
        <v>0.92</v>
      </c>
      <c r="G8" s="8" t="n">
        <f aca="false">LN(F8)</f>
        <v>-0.083381608939051</v>
      </c>
      <c r="H8" s="8" t="n">
        <v>0.59</v>
      </c>
      <c r="I8" s="10" t="n">
        <v>1.44</v>
      </c>
      <c r="J8" s="10" t="n">
        <f aca="false">LN(H8)</f>
        <v>-0.527632742082372</v>
      </c>
      <c r="K8" s="10" t="n">
        <f aca="false">LN(I8)</f>
        <v>0.364643113587909</v>
      </c>
      <c r="L8" s="10" t="n">
        <f aca="false">(K8-J8)/(1.96*2)</f>
        <v>0.227621391752623</v>
      </c>
      <c r="M8" s="8" t="n">
        <f aca="false">(I8-H8)/(1.96*2)</f>
        <v>0.216836734693878</v>
      </c>
      <c r="N8" s="11"/>
      <c r="O8" s="13"/>
      <c r="P8" s="13" t="n">
        <v>6</v>
      </c>
      <c r="Q8" s="14" t="s">
        <v>28</v>
      </c>
      <c r="R8" s="13"/>
      <c r="S8" s="13"/>
    </row>
    <row r="9" customFormat="false" ht="15" hidden="false" customHeight="false" outlineLevel="0" collapsed="false">
      <c r="A9" s="6" t="n">
        <v>2010</v>
      </c>
      <c r="B9" s="7" t="s">
        <v>29</v>
      </c>
      <c r="C9" s="6" t="n">
        <v>8</v>
      </c>
      <c r="D9" s="6" t="n">
        <v>7</v>
      </c>
      <c r="E9" s="6" t="n">
        <v>1</v>
      </c>
      <c r="F9" s="8" t="n">
        <v>1.1</v>
      </c>
      <c r="G9" s="8" t="n">
        <f aca="false">LN(F9)</f>
        <v>0.0953101798043249</v>
      </c>
      <c r="H9" s="8" t="n">
        <v>0.89</v>
      </c>
      <c r="I9" s="10" t="n">
        <v>1.35</v>
      </c>
      <c r="J9" s="10" t="n">
        <f aca="false">LN(H9)</f>
        <v>-0.116533816255952</v>
      </c>
      <c r="K9" s="10" t="n">
        <f aca="false">LN(I9)</f>
        <v>0.300104592450338</v>
      </c>
      <c r="L9" s="10" t="n">
        <f aca="false">(K9-J9)/(1.96*2)</f>
        <v>0.106285308343441</v>
      </c>
      <c r="M9" s="8" t="n">
        <f aca="false">(I9-H9)/(1.96*2)</f>
        <v>0.11734693877551</v>
      </c>
      <c r="N9" s="11"/>
      <c r="O9" s="13"/>
      <c r="P9" s="13" t="n">
        <v>7</v>
      </c>
      <c r="Q9" s="14" t="s">
        <v>30</v>
      </c>
      <c r="R9" s="13"/>
      <c r="S9" s="13"/>
    </row>
    <row r="10" customFormat="false" ht="15" hidden="false" customHeight="false" outlineLevel="0" collapsed="false">
      <c r="A10" s="6" t="n">
        <v>2005</v>
      </c>
      <c r="B10" s="6" t="s">
        <v>31</v>
      </c>
      <c r="C10" s="6" t="n">
        <v>9</v>
      </c>
      <c r="D10" s="6" t="n">
        <v>16</v>
      </c>
      <c r="E10" s="6" t="n">
        <v>1</v>
      </c>
      <c r="F10" s="8" t="n">
        <v>0.98</v>
      </c>
      <c r="G10" s="8" t="n">
        <f aca="false">LN(F10)</f>
        <v>-0.0202027073175195</v>
      </c>
      <c r="H10" s="8" t="n">
        <v>0.82</v>
      </c>
      <c r="I10" s="10" t="n">
        <v>1.18</v>
      </c>
      <c r="J10" s="10" t="n">
        <f aca="false">LN(H10)</f>
        <v>-0.198450938723838</v>
      </c>
      <c r="K10" s="10" t="n">
        <f aca="false">LN(I10)</f>
        <v>0.165514438477573</v>
      </c>
      <c r="L10" s="10" t="n">
        <f aca="false">(K10-J10)/(1.96*2)</f>
        <v>0.0928483105105642</v>
      </c>
      <c r="M10" s="8" t="n">
        <f aca="false">(I10-H10)/(1.96*2)</f>
        <v>0.0918367346938775</v>
      </c>
      <c r="N10" s="11"/>
      <c r="O10" s="13"/>
      <c r="P10" s="13" t="n">
        <v>8</v>
      </c>
      <c r="Q10" s="14" t="s">
        <v>32</v>
      </c>
      <c r="R10" s="13"/>
      <c r="S10" s="13"/>
    </row>
    <row r="11" customFormat="false" ht="15" hidden="false" customHeight="false" outlineLevel="0" collapsed="false">
      <c r="A11" s="6" t="n">
        <v>2005</v>
      </c>
      <c r="B11" s="7" t="s">
        <v>33</v>
      </c>
      <c r="C11" s="6" t="n">
        <v>10</v>
      </c>
      <c r="D11" s="6" t="n">
        <v>8</v>
      </c>
      <c r="E11" s="6" t="n">
        <v>1</v>
      </c>
      <c r="F11" s="8" t="n">
        <v>1.06</v>
      </c>
      <c r="G11" s="8" t="n">
        <f aca="false">LN(F11)</f>
        <v>0.0582689081239758</v>
      </c>
      <c r="H11" s="8" t="n">
        <v>0.91</v>
      </c>
      <c r="I11" s="10" t="n">
        <v>1.23</v>
      </c>
      <c r="J11" s="10" t="n">
        <f aca="false">LN(H11)</f>
        <v>-0.0943106794712413</v>
      </c>
      <c r="K11" s="10" t="n">
        <f aca="false">LN(I11)</f>
        <v>0.207014169384326</v>
      </c>
      <c r="L11" s="10" t="n">
        <f aca="false">(K11-J11)/(1.96*2)</f>
        <v>0.0768685838917264</v>
      </c>
      <c r="M11" s="8" t="n">
        <f aca="false">(I11-H11)/(1.96*2)</f>
        <v>0.0816326530612245</v>
      </c>
      <c r="N11" s="11"/>
      <c r="O11" s="13"/>
      <c r="P11" s="13" t="n">
        <v>9</v>
      </c>
      <c r="Q11" s="14" t="s">
        <v>34</v>
      </c>
      <c r="R11" s="13"/>
      <c r="S11" s="13"/>
    </row>
    <row r="12" customFormat="false" ht="15" hidden="false" customHeight="false" outlineLevel="0" collapsed="false">
      <c r="A12" s="6" t="n">
        <v>2010</v>
      </c>
      <c r="B12" s="6" t="s">
        <v>35</v>
      </c>
      <c r="C12" s="6" t="n">
        <v>11</v>
      </c>
      <c r="D12" s="6" t="n">
        <v>9</v>
      </c>
      <c r="E12" s="6" t="n">
        <v>1</v>
      </c>
      <c r="F12" s="8" t="n">
        <v>0.65</v>
      </c>
      <c r="G12" s="8" t="n">
        <f aca="false">LN(F12)</f>
        <v>-0.430782916092454</v>
      </c>
      <c r="H12" s="8" t="n">
        <v>0.43</v>
      </c>
      <c r="I12" s="10" t="n">
        <v>0.99</v>
      </c>
      <c r="J12" s="10" t="n">
        <f aca="false">LN(H12)</f>
        <v>-0.843970070294529</v>
      </c>
      <c r="K12" s="10" t="n">
        <f aca="false">LN(I12)</f>
        <v>-0.0100503358535015</v>
      </c>
      <c r="L12" s="10" t="n">
        <f aca="false">(K12-J12)/(1.96*2)</f>
        <v>0.212734626132915</v>
      </c>
      <c r="M12" s="8" t="n">
        <f aca="false">(I12-H12)/(1.96*2)</f>
        <v>0.142857142857143</v>
      </c>
      <c r="N12" s="11"/>
      <c r="O12" s="13"/>
      <c r="P12" s="13" t="n">
        <v>10</v>
      </c>
      <c r="Q12" s="14" t="s">
        <v>36</v>
      </c>
      <c r="R12" s="13"/>
      <c r="S12" s="13"/>
    </row>
    <row r="13" customFormat="false" ht="15" hidden="false" customHeight="false" outlineLevel="0" collapsed="false">
      <c r="A13" s="6" t="n">
        <v>2005</v>
      </c>
      <c r="B13" s="6" t="s">
        <v>37</v>
      </c>
      <c r="C13" s="6" t="n">
        <v>12</v>
      </c>
      <c r="D13" s="6" t="n">
        <v>10</v>
      </c>
      <c r="E13" s="6" t="n">
        <v>1</v>
      </c>
      <c r="F13" s="8" t="n">
        <v>0.82</v>
      </c>
      <c r="G13" s="8" t="n">
        <f aca="false">LN(F13)</f>
        <v>-0.198450938723838</v>
      </c>
      <c r="H13" s="8" t="n">
        <v>0.68</v>
      </c>
      <c r="I13" s="10" t="n">
        <v>0.98</v>
      </c>
      <c r="J13" s="10" t="n">
        <f aca="false">LN(H13)</f>
        <v>-0.385662480811985</v>
      </c>
      <c r="K13" s="10" t="n">
        <f aca="false">LN(I13)</f>
        <v>-0.0202027073175195</v>
      </c>
      <c r="L13" s="10" t="n">
        <f aca="false">(K13-J13)/(1.96*2)</f>
        <v>0.0932295340547105</v>
      </c>
      <c r="M13" s="8" t="n">
        <f aca="false">(I13-H13)/(1.96*2)</f>
        <v>0.076530612244898</v>
      </c>
      <c r="N13" s="11"/>
      <c r="O13" s="13"/>
      <c r="P13" s="13" t="n">
        <v>11</v>
      </c>
      <c r="Q13" s="14" t="s">
        <v>38</v>
      </c>
      <c r="R13" s="13"/>
      <c r="S13" s="13"/>
    </row>
    <row r="14" customFormat="false" ht="15" hidden="false" customHeight="false" outlineLevel="0" collapsed="false">
      <c r="A14" s="6" t="n">
        <v>2007</v>
      </c>
      <c r="B14" s="6" t="s">
        <v>39</v>
      </c>
      <c r="C14" s="6" t="n">
        <v>13</v>
      </c>
      <c r="D14" s="6" t="n">
        <v>11</v>
      </c>
      <c r="E14" s="6" t="n">
        <v>1</v>
      </c>
      <c r="F14" s="8" t="n">
        <v>1.13</v>
      </c>
      <c r="G14" s="8" t="n">
        <f aca="false">LN(F14)</f>
        <v>0.122217632724249</v>
      </c>
      <c r="H14" s="8" t="n">
        <v>0.77</v>
      </c>
      <c r="I14" s="10" t="n">
        <v>1.66</v>
      </c>
      <c r="J14" s="10" t="n">
        <f aca="false">LN(H14)</f>
        <v>-0.261364764134407</v>
      </c>
      <c r="K14" s="10" t="n">
        <f aca="false">LN(I14)</f>
        <v>0.506817602368452</v>
      </c>
      <c r="L14" s="10" t="n">
        <f aca="false">(K14-J14)/(1.96*2)</f>
        <v>0.195964889413995</v>
      </c>
      <c r="M14" s="8" t="n">
        <f aca="false">(I14-H14)/(1.96*2)</f>
        <v>0.227040816326531</v>
      </c>
      <c r="N14" s="11"/>
      <c r="O14" s="13"/>
      <c r="P14" s="13" t="n">
        <v>12</v>
      </c>
      <c r="Q14" s="14" t="s">
        <v>40</v>
      </c>
      <c r="R14" s="13"/>
      <c r="S14" s="13"/>
    </row>
    <row r="15" customFormat="false" ht="15" hidden="false" customHeight="false" outlineLevel="0" collapsed="false">
      <c r="A15" s="6" t="n">
        <v>2007</v>
      </c>
      <c r="B15" s="6" t="s">
        <v>41</v>
      </c>
      <c r="C15" s="6" t="n">
        <v>14</v>
      </c>
      <c r="D15" s="6" t="n">
        <v>11</v>
      </c>
      <c r="E15" s="6" t="n">
        <v>1</v>
      </c>
      <c r="F15" s="8" t="n">
        <v>0.93</v>
      </c>
      <c r="G15" s="8" t="n">
        <f aca="false">LN(F15)</f>
        <v>-0.0725706928348354</v>
      </c>
      <c r="H15" s="8" t="n">
        <v>0.74</v>
      </c>
      <c r="I15" s="10" t="n">
        <v>1.17</v>
      </c>
      <c r="J15" s="10" t="n">
        <f aca="false">LN(H15)</f>
        <v>-0.301105092783922</v>
      </c>
      <c r="K15" s="10" t="n">
        <f aca="false">LN(I15)</f>
        <v>0.157003748809665</v>
      </c>
      <c r="L15" s="10" t="n">
        <f aca="false">(K15-J15)/(1.96*2)</f>
        <v>0.116864500406527</v>
      </c>
      <c r="M15" s="8" t="n">
        <f aca="false">(I15-H15)/(1.96*2)</f>
        <v>0.10969387755102</v>
      </c>
      <c r="N15" s="11"/>
      <c r="O15" s="13"/>
      <c r="P15" s="13" t="n">
        <v>13</v>
      </c>
      <c r="Q15" s="14" t="s">
        <v>42</v>
      </c>
      <c r="R15" s="13"/>
      <c r="S15" s="13"/>
    </row>
    <row r="16" customFormat="false" ht="15" hidden="false" customHeight="false" outlineLevel="0" collapsed="false">
      <c r="A16" s="6" t="n">
        <v>2004</v>
      </c>
      <c r="B16" s="6" t="s">
        <v>43</v>
      </c>
      <c r="C16" s="6" t="n">
        <v>15</v>
      </c>
      <c r="D16" s="6" t="n">
        <v>12</v>
      </c>
      <c r="E16" s="6" t="n">
        <v>1</v>
      </c>
      <c r="F16" s="8" t="n">
        <v>1.04</v>
      </c>
      <c r="G16" s="8" t="n">
        <f aca="false">LN(F16)</f>
        <v>0.0392207131532813</v>
      </c>
      <c r="H16" s="8" t="n">
        <v>0.84</v>
      </c>
      <c r="I16" s="10" t="n">
        <v>1.29</v>
      </c>
      <c r="J16" s="10" t="n">
        <f aca="false">LN(H16)</f>
        <v>-0.174353387144778</v>
      </c>
      <c r="K16" s="10" t="n">
        <f aca="false">LN(I16)</f>
        <v>0.254642218373581</v>
      </c>
      <c r="L16" s="10" t="n">
        <f aca="false">(K16-J16)/(1.96*2)</f>
        <v>0.109437654468969</v>
      </c>
      <c r="M16" s="8" t="n">
        <f aca="false">(I16-H16)/(1.96*2)</f>
        <v>0.114795918367347</v>
      </c>
      <c r="N16" s="11"/>
      <c r="O16" s="13"/>
      <c r="P16" s="13" t="n">
        <v>14</v>
      </c>
      <c r="Q16" s="14" t="s">
        <v>44</v>
      </c>
      <c r="R16" s="13"/>
      <c r="S16" s="13"/>
    </row>
    <row r="17" customFormat="false" ht="15" hidden="false" customHeight="false" outlineLevel="0" collapsed="false">
      <c r="A17" s="6" t="n">
        <v>2004</v>
      </c>
      <c r="B17" s="6" t="s">
        <v>45</v>
      </c>
      <c r="C17" s="6" t="n">
        <v>16</v>
      </c>
      <c r="D17" s="6" t="n">
        <v>13</v>
      </c>
      <c r="E17" s="6" t="n">
        <v>1</v>
      </c>
      <c r="F17" s="8" t="n">
        <v>0.99</v>
      </c>
      <c r="G17" s="8" t="n">
        <f aca="false">LN(F17)</f>
        <v>-0.0100503358535015</v>
      </c>
      <c r="H17" s="8" t="n">
        <v>0.76</v>
      </c>
      <c r="I17" s="10" t="n">
        <v>1.29</v>
      </c>
      <c r="J17" s="10" t="n">
        <f aca="false">LN(H17)</f>
        <v>-0.27443684570176</v>
      </c>
      <c r="K17" s="10" t="n">
        <f aca="false">LN(I17)</f>
        <v>0.254642218373581</v>
      </c>
      <c r="L17" s="10" t="n">
        <f aca="false">(K17-J17)/(1.96*2)</f>
        <v>0.134969148998812</v>
      </c>
      <c r="M17" s="8" t="n">
        <f aca="false">(I17-H17)/(1.96*2)</f>
        <v>0.135204081632653</v>
      </c>
      <c r="N17" s="11"/>
      <c r="O17" s="13"/>
      <c r="P17" s="13" t="n">
        <v>15</v>
      </c>
      <c r="Q17" s="14" t="s">
        <v>46</v>
      </c>
      <c r="R17" s="13"/>
      <c r="S17" s="13"/>
    </row>
    <row r="18" customFormat="false" ht="15" hidden="false" customHeight="false" outlineLevel="0" collapsed="false">
      <c r="A18" s="6" t="n">
        <v>2002</v>
      </c>
      <c r="B18" s="6" t="s">
        <v>47</v>
      </c>
      <c r="C18" s="6" t="n">
        <v>17</v>
      </c>
      <c r="D18" s="6" t="n">
        <v>14</v>
      </c>
      <c r="E18" s="6" t="n">
        <v>1</v>
      </c>
      <c r="F18" s="8" t="n">
        <v>0.72</v>
      </c>
      <c r="G18" s="8" t="n">
        <f aca="false">LN(F18)</f>
        <v>-0.328504066972036</v>
      </c>
      <c r="H18" s="8" t="n">
        <v>0.62</v>
      </c>
      <c r="I18" s="10" t="n">
        <v>0.84</v>
      </c>
      <c r="J18" s="10" t="n">
        <f aca="false">LN(H18)</f>
        <v>-0.478035800943</v>
      </c>
      <c r="K18" s="10" t="n">
        <f aca="false">LN(I18)</f>
        <v>-0.174353387144778</v>
      </c>
      <c r="L18" s="10" t="n">
        <f aca="false">(K18-J18)/(1.96*2)</f>
        <v>0.0774700035199546</v>
      </c>
      <c r="M18" s="8" t="n">
        <f aca="false">(I18-H18)/(1.96*2)</f>
        <v>0.0561224489795918</v>
      </c>
      <c r="N18" s="11"/>
      <c r="O18" s="13"/>
      <c r="P18" s="13" t="n">
        <v>16</v>
      </c>
      <c r="Q18" s="14" t="s">
        <v>48</v>
      </c>
      <c r="R18" s="13"/>
      <c r="S18" s="13"/>
    </row>
    <row r="19" customFormat="false" ht="15" hidden="false" customHeight="false" outlineLevel="0" collapsed="false">
      <c r="A19" s="6" t="n">
        <v>2013</v>
      </c>
      <c r="B19" s="6" t="s">
        <v>49</v>
      </c>
      <c r="C19" s="6" t="n">
        <v>18</v>
      </c>
      <c r="D19" s="6" t="n">
        <v>15</v>
      </c>
      <c r="E19" s="6" t="n">
        <v>1</v>
      </c>
      <c r="F19" s="8" t="n">
        <v>0.82</v>
      </c>
      <c r="G19" s="8" t="n">
        <f aca="false">LN(F19)</f>
        <v>-0.198450938723838</v>
      </c>
      <c r="H19" s="8" t="n">
        <v>0.64</v>
      </c>
      <c r="I19" s="10" t="n">
        <v>1.05</v>
      </c>
      <c r="J19" s="10" t="n">
        <f aca="false">LN(H19)</f>
        <v>-0.446287102628419</v>
      </c>
      <c r="K19" s="10" t="n">
        <f aca="false">LN(I19)</f>
        <v>0.048790164169432</v>
      </c>
      <c r="L19" s="10" t="n">
        <f aca="false">(K19-J19)/(1.96*2)</f>
        <v>0.126295221121901</v>
      </c>
      <c r="M19" s="8" t="n">
        <f aca="false">(I19-H19)/(1.96*2)</f>
        <v>0.104591836734694</v>
      </c>
      <c r="N19" s="11"/>
      <c r="O19" s="13"/>
      <c r="P19" s="13" t="n">
        <v>17</v>
      </c>
      <c r="Q19" s="14" t="s">
        <v>50</v>
      </c>
      <c r="R19" s="13"/>
      <c r="S19" s="13"/>
    </row>
    <row r="20" customFormat="false" ht="15" hidden="false" customHeight="false" outlineLevel="0" collapsed="false">
      <c r="A20" s="6" t="n">
        <v>2005</v>
      </c>
      <c r="B20" s="6" t="s">
        <v>51</v>
      </c>
      <c r="C20" s="6" t="n">
        <v>19</v>
      </c>
      <c r="D20" s="6" t="n">
        <v>15</v>
      </c>
      <c r="E20" s="6" t="n">
        <v>1</v>
      </c>
      <c r="F20" s="8" t="n">
        <v>0.88</v>
      </c>
      <c r="G20" s="8" t="n">
        <f aca="false">LN(F20)</f>
        <v>-0.127833371509885</v>
      </c>
      <c r="H20" s="8" t="n">
        <v>0.73</v>
      </c>
      <c r="I20" s="10" t="n">
        <v>1.06</v>
      </c>
      <c r="J20" s="10" t="n">
        <f aca="false">LN(H20)</f>
        <v>-0.3147107448397</v>
      </c>
      <c r="K20" s="10" t="n">
        <f aca="false">LN(I20)</f>
        <v>0.0582689081239758</v>
      </c>
      <c r="L20" s="10" t="n">
        <f aca="false">(K20-J20)/(1.96*2)</f>
        <v>0.095147870653999</v>
      </c>
      <c r="M20" s="8" t="n">
        <f aca="false">(I20-H20)/(1.96*2)</f>
        <v>0.0841836734693878</v>
      </c>
      <c r="N20" s="11"/>
      <c r="O20" s="13"/>
      <c r="P20" s="13" t="n">
        <v>18</v>
      </c>
      <c r="Q20" s="14" t="s">
        <v>52</v>
      </c>
      <c r="R20" s="13"/>
      <c r="S20" s="13"/>
    </row>
    <row r="21" customFormat="false" ht="15" hidden="false" customHeight="false" outlineLevel="0" collapsed="false">
      <c r="A21" s="6" t="n">
        <v>2006</v>
      </c>
      <c r="B21" s="6" t="s">
        <v>53</v>
      </c>
      <c r="C21" s="6" t="n">
        <v>20</v>
      </c>
      <c r="D21" s="6" t="n">
        <v>17</v>
      </c>
      <c r="E21" s="6" t="n">
        <v>1</v>
      </c>
      <c r="F21" s="8" t="n">
        <v>1.27</v>
      </c>
      <c r="G21" s="8" t="n">
        <f aca="false">LN(F21)</f>
        <v>0.2390169004705</v>
      </c>
      <c r="H21" s="8" t="n">
        <v>0.84</v>
      </c>
      <c r="I21" s="10" t="n">
        <v>1.93</v>
      </c>
      <c r="J21" s="10" t="n">
        <f aca="false">LN(H21)</f>
        <v>-0.174353387144778</v>
      </c>
      <c r="K21" s="10" t="n">
        <f aca="false">LN(I21)</f>
        <v>0.657520002916794</v>
      </c>
      <c r="L21" s="10" t="n">
        <f aca="false">(K21-J21)/(1.96*2)</f>
        <v>0.212212599505503</v>
      </c>
      <c r="M21" s="8" t="n">
        <f aca="false">(I21-H21)/(1.96*2)</f>
        <v>0.278061224489796</v>
      </c>
      <c r="N21" s="11"/>
      <c r="O21" s="13"/>
      <c r="P21" s="13" t="n">
        <v>19</v>
      </c>
      <c r="Q21" s="14" t="s">
        <v>54</v>
      </c>
      <c r="R21" s="13"/>
      <c r="S21" s="13"/>
    </row>
    <row r="22" customFormat="false" ht="15" hidden="false" customHeight="false" outlineLevel="0" collapsed="false">
      <c r="A22" s="6" t="n">
        <v>2012</v>
      </c>
      <c r="B22" s="6" t="s">
        <v>55</v>
      </c>
      <c r="C22" s="6" t="n">
        <v>21</v>
      </c>
      <c r="D22" s="6" t="n">
        <v>18</v>
      </c>
      <c r="E22" s="6" t="n">
        <v>1</v>
      </c>
      <c r="F22" s="8" t="n">
        <v>0.97</v>
      </c>
      <c r="G22" s="8" t="n">
        <f aca="false">LN(F22)</f>
        <v>-0.0304592074847086</v>
      </c>
      <c r="H22" s="8" t="n">
        <v>0.81</v>
      </c>
      <c r="I22" s="10" t="n">
        <v>1.16</v>
      </c>
      <c r="J22" s="10" t="n">
        <f aca="false">LN(H22)</f>
        <v>-0.210721031315653</v>
      </c>
      <c r="K22" s="10" t="n">
        <f aca="false">LN(I22)</f>
        <v>0.148420005118273</v>
      </c>
      <c r="L22" s="10" t="n">
        <f aca="false">(K22-J22)/(1.96*2)</f>
        <v>0.0916176113351851</v>
      </c>
      <c r="M22" s="8" t="n">
        <f aca="false">(I22-H22)/(1.96*2)</f>
        <v>0.0892857142857143</v>
      </c>
      <c r="N22" s="11"/>
      <c r="O22" s="13"/>
      <c r="P22" s="13" t="n">
        <v>20</v>
      </c>
      <c r="Q22" s="14" t="s">
        <v>56</v>
      </c>
      <c r="R22" s="13"/>
      <c r="S22" s="13"/>
    </row>
    <row r="23" customFormat="false" ht="15" hidden="false" customHeight="false" outlineLevel="0" collapsed="false">
      <c r="A23" s="6" t="n">
        <v>2004</v>
      </c>
      <c r="B23" s="6" t="s">
        <v>55</v>
      </c>
      <c r="C23" s="6" t="n">
        <v>22</v>
      </c>
      <c r="D23" s="6" t="n">
        <v>19</v>
      </c>
      <c r="E23" s="6" t="n">
        <v>10</v>
      </c>
      <c r="F23" s="15" t="n">
        <v>0.89</v>
      </c>
      <c r="G23" s="8" t="n">
        <f aca="false">LN(F23)</f>
        <v>-0.116533816255952</v>
      </c>
      <c r="H23" s="15" t="n">
        <v>0.74</v>
      </c>
      <c r="I23" s="10" t="n">
        <v>1.07</v>
      </c>
      <c r="J23" s="10" t="n">
        <f aca="false">LN(H23)</f>
        <v>-0.301105092783922</v>
      </c>
      <c r="K23" s="10" t="n">
        <f aca="false">LN(I23)</f>
        <v>0.0676586484738149</v>
      </c>
      <c r="L23" s="10" t="n">
        <f aca="false">(K23-J23)/(1.96*2)</f>
        <v>0.0940723829739124</v>
      </c>
      <c r="M23" s="8" t="n">
        <f aca="false">(I23-H23)/(1.96*2)</f>
        <v>0.0841836734693878</v>
      </c>
      <c r="N23" s="11"/>
      <c r="O23" s="16"/>
      <c r="P23" s="17"/>
      <c r="Q23" s="18"/>
    </row>
    <row r="24" customFormat="false" ht="15" hidden="false" customHeight="false" outlineLevel="0" collapsed="false">
      <c r="A24" s="6" t="n">
        <v>2009</v>
      </c>
      <c r="B24" s="6" t="s">
        <v>57</v>
      </c>
      <c r="C24" s="6" t="n">
        <v>23</v>
      </c>
      <c r="D24" s="6" t="n">
        <v>20</v>
      </c>
      <c r="E24" s="6" t="n">
        <v>10</v>
      </c>
      <c r="F24" s="15" t="n">
        <v>1.02</v>
      </c>
      <c r="G24" s="8" t="n">
        <f aca="false">LN(F24)</f>
        <v>0.0198026272961797</v>
      </c>
      <c r="H24" s="15" t="n">
        <v>0.79</v>
      </c>
      <c r="I24" s="10" t="n">
        <v>1.31</v>
      </c>
      <c r="J24" s="10" t="n">
        <f aca="false">LN(H24)</f>
        <v>-0.23572233352107</v>
      </c>
      <c r="K24" s="10" t="n">
        <f aca="false">LN(I24)</f>
        <v>0.27002713721306</v>
      </c>
      <c r="L24" s="10" t="n">
        <f aca="false">(K24-J24)/(1.96*2)</f>
        <v>0.129017722126054</v>
      </c>
      <c r="M24" s="8" t="n">
        <f aca="false">(I24-H24)/(1.96*2)</f>
        <v>0.13265306122449</v>
      </c>
      <c r="N24" s="11"/>
      <c r="O24" s="16" t="s">
        <v>58</v>
      </c>
      <c r="P24" s="17"/>
      <c r="Q24" s="1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3117A7-9BC4-4C72-AC45-919B2C7D0C42}"/>
</file>

<file path=customXml/itemProps2.xml><?xml version="1.0" encoding="utf-8"?>
<ds:datastoreItem xmlns:ds="http://schemas.openxmlformats.org/officeDocument/2006/customXml" ds:itemID="{44BFBCD3-FF89-4497-A0EA-42D2FFB4E340}"/>
</file>

<file path=customXml/itemProps3.xml><?xml version="1.0" encoding="utf-8"?>
<ds:datastoreItem xmlns:ds="http://schemas.openxmlformats.org/officeDocument/2006/customXml" ds:itemID="{89EB8628-BC13-4A5D-9344-2FD56C61D56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>Theodore Papakonstantinou</cp:lastModifiedBy>
  <cp:revision>1</cp:revision>
  <dcterms:created xsi:type="dcterms:W3CDTF">2018-02-22T14:58:39Z</dcterms:created>
  <dcterms:modified xsi:type="dcterms:W3CDTF">2019-04-12T17:09:06Z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