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" i="1"/>
  <c r="J5"/>
  <c r="J6"/>
  <c r="J7"/>
  <c r="J8"/>
  <c r="J9"/>
  <c r="J10"/>
  <c r="J11"/>
  <c r="J12"/>
  <c r="J13"/>
  <c r="J14"/>
  <c r="J15"/>
  <c r="J16"/>
  <c r="J17"/>
  <c r="J3"/>
  <c r="J2"/>
</calcChain>
</file>

<file path=xl/sharedStrings.xml><?xml version="1.0" encoding="utf-8"?>
<sst xmlns="http://schemas.openxmlformats.org/spreadsheetml/2006/main" count="39" uniqueCount="39">
  <si>
    <t>Treatments</t>
  </si>
  <si>
    <t>Study id</t>
  </si>
  <si>
    <t>id</t>
  </si>
  <si>
    <t>CIL</t>
  </si>
  <si>
    <t>CIH</t>
  </si>
  <si>
    <t>study year</t>
  </si>
  <si>
    <t>t1</t>
  </si>
  <si>
    <t>t2</t>
  </si>
  <si>
    <t>study name</t>
  </si>
  <si>
    <r>
      <t xml:space="preserve">Outcome: </t>
    </r>
    <r>
      <rPr>
        <sz val="11"/>
        <color theme="1"/>
        <rFont val="Calibri"/>
        <family val="2"/>
        <charset val="161"/>
        <scheme val="minor"/>
      </rPr>
      <t>survival</t>
    </r>
  </si>
  <si>
    <t>Benefit</t>
  </si>
  <si>
    <t>GF</t>
  </si>
  <si>
    <t>GEM</t>
  </si>
  <si>
    <t>Berlin 2002</t>
  </si>
  <si>
    <t>Ries 2005</t>
  </si>
  <si>
    <t>GnP</t>
  </si>
  <si>
    <t>Von Hoff 2013</t>
  </si>
  <si>
    <t>Gcap</t>
  </si>
  <si>
    <t>Cunningham 2009</t>
  </si>
  <si>
    <t>Hermann 2007</t>
  </si>
  <si>
    <t>Scheithauer 2003</t>
  </si>
  <si>
    <t>Colucci 2010</t>
  </si>
  <si>
    <t>Heineman 2006</t>
  </si>
  <si>
    <t>Gcis</t>
  </si>
  <si>
    <t>Moore 2007</t>
  </si>
  <si>
    <t>Conroy 2011</t>
  </si>
  <si>
    <t>Folfirinox</t>
  </si>
  <si>
    <t>Gox</t>
  </si>
  <si>
    <t>Louvet 2005</t>
  </si>
  <si>
    <t>Poplin 2009</t>
  </si>
  <si>
    <t>GS</t>
  </si>
  <si>
    <t>Nakai 2012</t>
  </si>
  <si>
    <t>Ozaka 2012</t>
  </si>
  <si>
    <t>Ueno 2013</t>
  </si>
  <si>
    <t>Boeck 2007</t>
  </si>
  <si>
    <t xml:space="preserve">GE </t>
  </si>
  <si>
    <t>effect=HR</t>
  </si>
  <si>
    <t>effect</t>
  </si>
  <si>
    <t>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</si>
</sst>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1"/>
      <scheme val="minor"/>
    </font>
    <font>
      <u/>
      <sz val="11"/>
      <color theme="1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3" borderId="1" xfId="0" applyFont="1" applyFill="1" applyBorder="1" applyAlignment="1"/>
    <xf numFmtId="0" fontId="0" fillId="3" borderId="2" xfId="0" applyFill="1" applyBorder="1"/>
    <xf numFmtId="0" fontId="0" fillId="3" borderId="3" xfId="0" applyFill="1" applyBorder="1" applyAlignment="1"/>
    <xf numFmtId="0" fontId="1" fillId="3" borderId="4" xfId="0" applyFont="1" applyFill="1" applyBorder="1"/>
    <xf numFmtId="0" fontId="0" fillId="3" borderId="0" xfId="0" applyFill="1" applyBorder="1" applyAlignment="1"/>
    <xf numFmtId="0" fontId="0" fillId="3" borderId="5" xfId="0" applyFill="1" applyBorder="1" applyAlignment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 applyAlignment="1"/>
    <xf numFmtId="0" fontId="0" fillId="3" borderId="8" xfId="0" applyFill="1" applyBorder="1" applyAlignment="1"/>
  </cellXfs>
  <cellStyles count="1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>
      <pane ySplit="1" topLeftCell="A2" activePane="bottomLeft" state="frozen"/>
      <selection pane="bottomLeft" activeCell="K17" sqref="K17"/>
    </sheetView>
  </sheetViews>
  <sheetFormatPr baseColWidth="10" defaultColWidth="8.85546875" defaultRowHeight="15"/>
  <cols>
    <col min="1" max="1" width="10.140625" style="3" bestFit="1" customWidth="1"/>
    <col min="2" max="2" width="18.28515625" style="10" customWidth="1"/>
    <col min="3" max="3" width="8.28515625" style="10" hidden="1" customWidth="1"/>
    <col min="4" max="4" width="8.7109375" style="11" customWidth="1"/>
    <col min="5" max="6" width="11.7109375" style="10" bestFit="1" customWidth="1"/>
    <col min="7" max="7" width="13.42578125" style="12" customWidth="1"/>
    <col min="8" max="9" width="11.42578125" style="12" customWidth="1"/>
    <col min="10" max="10" width="7.42578125" style="12" customWidth="1"/>
    <col min="11" max="11" width="8.42578125" customWidth="1"/>
    <col min="12" max="12" width="10" bestFit="1" customWidth="1"/>
    <col min="14" max="14" width="11.42578125" customWidth="1"/>
    <col min="16" max="16" width="20.42578125" bestFit="1" customWidth="1"/>
  </cols>
  <sheetData>
    <row r="1" spans="1:16" s="1" customFormat="1" ht="15.75" thickBot="1">
      <c r="A1" s="7" t="s">
        <v>5</v>
      </c>
      <c r="B1" s="7" t="s">
        <v>8</v>
      </c>
      <c r="C1" s="7" t="s">
        <v>1</v>
      </c>
      <c r="D1" s="8" t="s">
        <v>2</v>
      </c>
      <c r="E1" s="7" t="s">
        <v>6</v>
      </c>
      <c r="F1" s="7" t="s">
        <v>7</v>
      </c>
      <c r="G1" s="9" t="s">
        <v>37</v>
      </c>
      <c r="H1" s="9" t="s">
        <v>3</v>
      </c>
      <c r="I1" s="9" t="s">
        <v>4</v>
      </c>
      <c r="J1" s="9" t="s">
        <v>38</v>
      </c>
      <c r="L1" s="1" t="s">
        <v>10</v>
      </c>
      <c r="M1" s="5" t="s">
        <v>9</v>
      </c>
    </row>
    <row r="2" spans="1:16">
      <c r="A2" s="3">
        <v>2002</v>
      </c>
      <c r="B2" s="10" t="s">
        <v>13</v>
      </c>
      <c r="D2" s="11">
        <v>1</v>
      </c>
      <c r="E2" s="10">
        <v>2</v>
      </c>
      <c r="F2" s="10">
        <v>1</v>
      </c>
      <c r="G2" s="12">
        <v>0.82</v>
      </c>
      <c r="H2" s="12">
        <v>0.65</v>
      </c>
      <c r="I2" s="12">
        <v>1.03</v>
      </c>
      <c r="J2" s="12">
        <f>(I2-H2)/(1.96^2)</f>
        <v>9.8917117867555193E-2</v>
      </c>
      <c r="N2" s="17" t="s">
        <v>0</v>
      </c>
      <c r="O2" s="18">
        <v>1</v>
      </c>
      <c r="P2" s="19" t="s">
        <v>12</v>
      </c>
    </row>
    <row r="3" spans="1:16">
      <c r="A3" s="3">
        <v>2005</v>
      </c>
      <c r="B3" s="10" t="s">
        <v>14</v>
      </c>
      <c r="D3" s="11">
        <v>2</v>
      </c>
      <c r="E3" s="10">
        <v>2</v>
      </c>
      <c r="F3" s="10">
        <v>1</v>
      </c>
      <c r="G3" s="12">
        <v>1.04</v>
      </c>
      <c r="H3" s="12">
        <v>0.87</v>
      </c>
      <c r="I3" s="12">
        <v>1.24</v>
      </c>
      <c r="J3" s="12">
        <f>(I3-H3)/(1.96^2)</f>
        <v>9.6314035818409E-2</v>
      </c>
      <c r="M3" s="4"/>
      <c r="N3" s="20"/>
      <c r="O3" s="21">
        <v>2</v>
      </c>
      <c r="P3" s="22" t="s">
        <v>11</v>
      </c>
    </row>
    <row r="4" spans="1:16">
      <c r="A4" s="3">
        <v>2013</v>
      </c>
      <c r="B4" s="10" t="s">
        <v>16</v>
      </c>
      <c r="D4" s="11">
        <v>3</v>
      </c>
      <c r="E4" s="10">
        <v>3</v>
      </c>
      <c r="F4" s="10">
        <v>1</v>
      </c>
      <c r="G4" s="12">
        <v>0.72</v>
      </c>
      <c r="H4" s="12">
        <v>0.62</v>
      </c>
      <c r="I4" s="12">
        <v>0.84</v>
      </c>
      <c r="J4" s="12">
        <f t="shared" ref="J4:J17" si="0">(I4-H4)/(1.96^2)</f>
        <v>5.7267805081216157E-2</v>
      </c>
      <c r="M4" s="4"/>
      <c r="N4" s="20"/>
      <c r="O4" s="21">
        <v>3</v>
      </c>
      <c r="P4" s="22" t="s">
        <v>15</v>
      </c>
    </row>
    <row r="5" spans="1:16">
      <c r="A5" s="3">
        <v>2009</v>
      </c>
      <c r="B5" s="10" t="s">
        <v>18</v>
      </c>
      <c r="D5" s="11">
        <v>4</v>
      </c>
      <c r="E5" s="10">
        <v>4</v>
      </c>
      <c r="F5" s="10">
        <v>1</v>
      </c>
      <c r="G5" s="12">
        <v>0.86</v>
      </c>
      <c r="H5" s="12">
        <v>0.72</v>
      </c>
      <c r="I5" s="12">
        <v>1.02</v>
      </c>
      <c r="J5" s="12">
        <f t="shared" si="0"/>
        <v>7.8092461474385685E-2</v>
      </c>
      <c r="M5" s="4"/>
      <c r="N5" s="20"/>
      <c r="O5" s="21">
        <v>4</v>
      </c>
      <c r="P5" s="22" t="s">
        <v>17</v>
      </c>
    </row>
    <row r="6" spans="1:16">
      <c r="A6" s="3">
        <v>2007</v>
      </c>
      <c r="B6" s="10" t="s">
        <v>19</v>
      </c>
      <c r="D6" s="11">
        <v>5</v>
      </c>
      <c r="E6" s="10">
        <v>4</v>
      </c>
      <c r="F6" s="10">
        <v>1</v>
      </c>
      <c r="G6" s="12">
        <v>0.87</v>
      </c>
      <c r="H6" s="12">
        <v>0.69</v>
      </c>
      <c r="I6" s="12">
        <v>1.1000000000000001</v>
      </c>
      <c r="J6" s="12">
        <f t="shared" si="0"/>
        <v>0.1067263640149938</v>
      </c>
      <c r="N6" s="23"/>
      <c r="O6" s="21">
        <v>5</v>
      </c>
      <c r="P6" s="22" t="s">
        <v>23</v>
      </c>
    </row>
    <row r="7" spans="1:16">
      <c r="A7" s="3">
        <v>2003</v>
      </c>
      <c r="B7" s="10" t="s">
        <v>20</v>
      </c>
      <c r="D7" s="11">
        <v>6</v>
      </c>
      <c r="E7" s="10">
        <v>4</v>
      </c>
      <c r="F7" s="10">
        <v>1</v>
      </c>
      <c r="G7" s="12">
        <v>0.82</v>
      </c>
      <c r="H7" s="12">
        <v>0.5</v>
      </c>
      <c r="I7" s="12">
        <v>1.34</v>
      </c>
      <c r="J7" s="12">
        <f t="shared" si="0"/>
        <v>0.21865889212827994</v>
      </c>
      <c r="N7" s="23"/>
      <c r="O7" s="21">
        <v>6</v>
      </c>
      <c r="P7" s="22" t="s">
        <v>35</v>
      </c>
    </row>
    <row r="8" spans="1:16">
      <c r="A8" s="3">
        <v>2010</v>
      </c>
      <c r="B8" s="10" t="s">
        <v>21</v>
      </c>
      <c r="D8" s="11">
        <v>7</v>
      </c>
      <c r="E8" s="10">
        <v>5</v>
      </c>
      <c r="F8" s="10">
        <v>1</v>
      </c>
      <c r="G8" s="12">
        <v>1.1000000000000001</v>
      </c>
      <c r="H8" s="12">
        <v>0.89</v>
      </c>
      <c r="I8" s="12">
        <v>1.35</v>
      </c>
      <c r="J8" s="12">
        <f t="shared" si="0"/>
        <v>0.11974177426072473</v>
      </c>
      <c r="N8" s="23"/>
      <c r="O8" s="21">
        <v>7</v>
      </c>
      <c r="P8" s="22" t="s">
        <v>26</v>
      </c>
    </row>
    <row r="9" spans="1:16">
      <c r="A9" s="3">
        <v>2006</v>
      </c>
      <c r="B9" s="10" t="s">
        <v>22</v>
      </c>
      <c r="D9" s="11">
        <v>8</v>
      </c>
      <c r="E9" s="10">
        <v>5</v>
      </c>
      <c r="F9" s="10">
        <v>1</v>
      </c>
      <c r="G9" s="12">
        <v>0.8</v>
      </c>
      <c r="H9" s="12">
        <v>0.59</v>
      </c>
      <c r="I9" s="12">
        <v>1.08</v>
      </c>
      <c r="J9" s="12">
        <f t="shared" si="0"/>
        <v>0.1275510204081633</v>
      </c>
      <c r="K9" s="2"/>
      <c r="L9" s="2"/>
      <c r="N9" s="23"/>
      <c r="O9" s="21">
        <v>8</v>
      </c>
      <c r="P9" s="22" t="s">
        <v>27</v>
      </c>
    </row>
    <row r="10" spans="1:16" ht="15.75" thickBot="1">
      <c r="A10" s="3">
        <v>2007</v>
      </c>
      <c r="B10" s="10" t="s">
        <v>24</v>
      </c>
      <c r="D10" s="11">
        <v>9</v>
      </c>
      <c r="E10" s="10">
        <v>6</v>
      </c>
      <c r="F10" s="10">
        <v>1</v>
      </c>
      <c r="G10" s="12">
        <v>0.82</v>
      </c>
      <c r="H10" s="12">
        <v>0.69</v>
      </c>
      <c r="I10" s="12">
        <v>0.97</v>
      </c>
      <c r="J10" s="12">
        <f t="shared" si="0"/>
        <v>7.2886297376093312E-2</v>
      </c>
      <c r="N10" s="24"/>
      <c r="O10" s="25">
        <v>9</v>
      </c>
      <c r="P10" s="26" t="s">
        <v>30</v>
      </c>
    </row>
    <row r="11" spans="1:16">
      <c r="A11" s="3">
        <v>2011</v>
      </c>
      <c r="B11" s="10" t="s">
        <v>25</v>
      </c>
      <c r="D11" s="11">
        <v>10</v>
      </c>
      <c r="E11" s="10">
        <v>7</v>
      </c>
      <c r="F11" s="10">
        <v>1</v>
      </c>
      <c r="G11" s="12">
        <v>0.56999999999999995</v>
      </c>
      <c r="H11" s="12">
        <v>0.45</v>
      </c>
      <c r="I11" s="12">
        <v>0.72</v>
      </c>
      <c r="J11" s="12">
        <f t="shared" si="0"/>
        <v>7.0283215326947104E-2</v>
      </c>
    </row>
    <row r="12" spans="1:16">
      <c r="A12" s="3">
        <v>2005</v>
      </c>
      <c r="B12" s="10" t="s">
        <v>28</v>
      </c>
      <c r="D12" s="11">
        <v>11</v>
      </c>
      <c r="E12" s="10">
        <v>8</v>
      </c>
      <c r="F12" s="10">
        <v>1</v>
      </c>
      <c r="G12" s="12">
        <v>0.83</v>
      </c>
      <c r="H12" s="12">
        <v>0.65</v>
      </c>
      <c r="I12" s="12">
        <v>1.07</v>
      </c>
      <c r="J12" s="12">
        <f t="shared" si="0"/>
        <v>0.10932944606413997</v>
      </c>
    </row>
    <row r="13" spans="1:16">
      <c r="A13" s="3">
        <v>2009</v>
      </c>
      <c r="B13" s="10" t="s">
        <v>29</v>
      </c>
      <c r="D13" s="11">
        <v>12</v>
      </c>
      <c r="E13" s="10">
        <v>8</v>
      </c>
      <c r="F13" s="10">
        <v>1</v>
      </c>
      <c r="G13" s="12">
        <v>0.88</v>
      </c>
      <c r="H13" s="12">
        <v>0.76</v>
      </c>
      <c r="I13" s="12">
        <v>1.02</v>
      </c>
      <c r="J13" s="12">
        <f t="shared" si="0"/>
        <v>6.7680133277800925E-2</v>
      </c>
      <c r="M13" s="3" t="s">
        <v>36</v>
      </c>
    </row>
    <row r="14" spans="1:16">
      <c r="A14" s="3">
        <v>2012</v>
      </c>
      <c r="B14" s="10" t="s">
        <v>31</v>
      </c>
      <c r="D14" s="11">
        <v>13</v>
      </c>
      <c r="E14" s="10">
        <v>9</v>
      </c>
      <c r="F14" s="10">
        <v>1</v>
      </c>
      <c r="G14" s="12">
        <v>0.72</v>
      </c>
      <c r="H14" s="12">
        <v>0.48</v>
      </c>
      <c r="I14" s="12">
        <v>1.08</v>
      </c>
      <c r="J14" s="12">
        <f t="shared" si="0"/>
        <v>0.15618492294877137</v>
      </c>
    </row>
    <row r="15" spans="1:16">
      <c r="A15" s="3">
        <v>2012</v>
      </c>
      <c r="B15" s="10" t="s">
        <v>32</v>
      </c>
      <c r="D15" s="11">
        <v>14</v>
      </c>
      <c r="E15" s="10">
        <v>9</v>
      </c>
      <c r="F15" s="10">
        <v>1</v>
      </c>
      <c r="G15" s="12">
        <v>0.63</v>
      </c>
      <c r="H15" s="12">
        <v>0.41</v>
      </c>
      <c r="I15" s="12">
        <v>0.97</v>
      </c>
      <c r="J15" s="12">
        <f t="shared" si="0"/>
        <v>0.14577259475218662</v>
      </c>
    </row>
    <row r="16" spans="1:16" s="3" customFormat="1">
      <c r="A16" s="3">
        <v>2013</v>
      </c>
      <c r="B16" s="10" t="s">
        <v>33</v>
      </c>
      <c r="C16" s="10"/>
      <c r="D16" s="11">
        <v>15</v>
      </c>
      <c r="E16" s="10">
        <v>9</v>
      </c>
      <c r="F16" s="10">
        <v>1</v>
      </c>
      <c r="G16" s="12">
        <v>0.88</v>
      </c>
      <c r="H16" s="12">
        <v>0.71</v>
      </c>
      <c r="I16" s="12">
        <v>1.0900000000000001</v>
      </c>
      <c r="J16" s="12">
        <f t="shared" si="0"/>
        <v>9.8917117867555221E-2</v>
      </c>
    </row>
    <row r="17" spans="1:10" ht="14.25" customHeight="1">
      <c r="A17" s="3">
        <v>2007</v>
      </c>
      <c r="B17" s="10" t="s">
        <v>34</v>
      </c>
      <c r="D17" s="11">
        <v>16</v>
      </c>
      <c r="E17" s="10">
        <v>4</v>
      </c>
      <c r="F17" s="10">
        <v>8</v>
      </c>
      <c r="G17" s="12">
        <v>0.82</v>
      </c>
      <c r="H17" s="12">
        <v>0.56000000000000005</v>
      </c>
      <c r="I17" s="12">
        <v>1.19</v>
      </c>
      <c r="J17" s="12">
        <f t="shared" si="0"/>
        <v>0.1639941690962099</v>
      </c>
    </row>
    <row r="18" spans="1:10" s="3" customFormat="1">
      <c r="B18" s="10"/>
      <c r="C18" s="10"/>
      <c r="D18" s="11"/>
      <c r="E18" s="10"/>
      <c r="F18" s="10"/>
      <c r="G18" s="12"/>
      <c r="H18" s="12"/>
      <c r="I18" s="12"/>
      <c r="J18" s="12"/>
    </row>
    <row r="25" spans="1:10" s="3" customFormat="1">
      <c r="B25" s="10"/>
      <c r="C25" s="10"/>
      <c r="D25" s="11"/>
      <c r="E25" s="10"/>
      <c r="F25" s="10"/>
      <c r="G25" s="12"/>
      <c r="H25" s="12"/>
      <c r="I25" s="12"/>
      <c r="J25" s="12"/>
    </row>
    <row r="27" spans="1:10" s="3" customFormat="1">
      <c r="B27" s="10"/>
      <c r="C27" s="10"/>
      <c r="D27" s="11"/>
      <c r="E27" s="10"/>
      <c r="F27" s="10"/>
      <c r="G27" s="12"/>
      <c r="H27" s="12"/>
      <c r="I27" s="12"/>
      <c r="J27" s="12"/>
    </row>
    <row r="29" spans="1:10" s="3" customFormat="1">
      <c r="B29" s="10"/>
      <c r="C29" s="10"/>
      <c r="D29" s="11"/>
      <c r="E29" s="10"/>
      <c r="F29" s="10"/>
      <c r="G29" s="12"/>
      <c r="H29" s="12"/>
      <c r="I29" s="12"/>
      <c r="J29" s="12"/>
    </row>
    <row r="31" spans="1:10" s="3" customFormat="1">
      <c r="B31" s="10"/>
      <c r="C31" s="10"/>
      <c r="D31" s="11"/>
      <c r="E31" s="10"/>
      <c r="F31" s="10"/>
      <c r="G31" s="12"/>
      <c r="H31" s="12"/>
      <c r="I31" s="12"/>
      <c r="J31" s="12"/>
    </row>
    <row r="33" spans="2:10" s="3" customFormat="1">
      <c r="B33" s="10"/>
      <c r="C33" s="10"/>
      <c r="D33" s="11"/>
      <c r="E33" s="10"/>
      <c r="F33" s="10"/>
      <c r="G33" s="12"/>
      <c r="H33" s="12"/>
      <c r="I33" s="12"/>
      <c r="J33" s="12"/>
    </row>
    <row r="35" spans="2:10" s="6" customFormat="1">
      <c r="B35" s="13"/>
      <c r="C35" s="13"/>
      <c r="D35" s="14"/>
      <c r="E35" s="13"/>
      <c r="F35" s="13"/>
      <c r="G35" s="15"/>
      <c r="H35" s="15"/>
      <c r="I35" s="15"/>
      <c r="J35" s="12"/>
    </row>
    <row r="42" spans="2:10" s="3" customFormat="1">
      <c r="B42" s="10"/>
      <c r="C42" s="10"/>
      <c r="D42" s="11"/>
      <c r="E42" s="10"/>
      <c r="F42" s="10"/>
      <c r="G42" s="12"/>
      <c r="H42" s="12"/>
      <c r="I42" s="12"/>
      <c r="J42" s="12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6A0E5A-19A6-4A3C-9454-78C5559FC9EF}"/>
</file>

<file path=customXml/itemProps2.xml><?xml version="1.0" encoding="utf-8"?>
<ds:datastoreItem xmlns:ds="http://schemas.openxmlformats.org/officeDocument/2006/customXml" ds:itemID="{EA42B114-C5FA-446B-8265-82694ABAB784}"/>
</file>

<file path=customXml/itemProps3.xml><?xml version="1.0" encoding="utf-8"?>
<ds:datastoreItem xmlns:ds="http://schemas.openxmlformats.org/officeDocument/2006/customXml" ds:itemID="{37715D5E-7FBB-4CA0-A805-535637B91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2011-01-10T18:11:05Z</dcterms:created>
  <dcterms:modified xsi:type="dcterms:W3CDTF">2018-03-01T11:52:26Z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