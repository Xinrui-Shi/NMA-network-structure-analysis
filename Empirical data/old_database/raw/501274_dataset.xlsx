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<sst xmlns="http://schemas.openxmlformats.org/spreadsheetml/2006/main" count="23" uniqueCount="23">
  <si>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Year</t>
  </si>
  <si>
    <t xml:space="preserve">Study</t>
  </si>
  <si>
    <t xml:space="preserve">id</t>
  </si>
  <si>
    <t xml:space="preserve">t1</t>
  </si>
  <si>
    <t xml:space="preserve">t2</t>
  </si>
  <si>
    <t xml:space="preserve">effect</t>
  </si>
  <si>
    <t xml:space="preserve">se</t>
  </si>
  <si>
    <t xml:space="preserve">Harmful</t>
  </si>
  <si>
    <r>
      <rPr>
        <b val="true"/>
        <sz val="11"/>
        <color rgb="FF000000"/>
        <rFont val="Calibri"/>
        <family val="2"/>
        <charset val="161"/>
      </rPr>
      <t xml:space="preserve">Outcome: </t>
    </r>
    <r>
      <rPr>
        <sz val="11"/>
        <color rgb="FF000000"/>
        <rFont val="Calibri"/>
        <family val="2"/>
        <charset val="161"/>
      </rPr>
      <t xml:space="preserve">Survival with treatment regimens for advanced colorectal cancer - death</t>
    </r>
  </si>
  <si>
    <t xml:space="preserve">Treatments</t>
  </si>
  <si>
    <t xml:space="preserve">F</t>
  </si>
  <si>
    <t xml:space="preserve">Table II</t>
  </si>
  <si>
    <t xml:space="preserve">FI</t>
  </si>
  <si>
    <t xml:space="preserve">I</t>
  </si>
  <si>
    <t xml:space="preserve">O</t>
  </si>
  <si>
    <t xml:space="preserve">FO</t>
  </si>
  <si>
    <t xml:space="preserve">FB</t>
  </si>
  <si>
    <t xml:space="preserve">FIB</t>
  </si>
  <si>
    <t xml:space="preserve">FIO</t>
  </si>
  <si>
    <t xml:space="preserve">FOB</t>
  </si>
  <si>
    <t xml:space="preserve">y=log(HR)</t>
  </si>
  <si>
    <t xml:space="preserve">IO</t>
  </si>
  <si>
    <t xml:space="preserve">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</si>
</sst>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0"/>
      <name val="Arial"/>
      <family val="2"/>
      <charset val="161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6.42"/>
    <col collapsed="false" customWidth="true" hidden="false" outlineLevel="0" max="3" min="3" style="0" width="15.71"/>
    <col collapsed="false" customWidth="true" hidden="false" outlineLevel="0" max="5" min="4" style="0" width="11.71"/>
    <col collapsed="false" customWidth="true" hidden="false" outlineLevel="0" max="6" min="6" style="0" width="8.67"/>
    <col collapsed="false" customWidth="true" hidden="false" outlineLevel="0" max="7" min="7" style="0" width="10.85"/>
    <col collapsed="false" customWidth="true" hidden="false" outlineLevel="0" max="8" min="8" style="0" width="15.71"/>
    <col collapsed="false" customWidth="true" hidden="false" outlineLevel="0" max="9" min="9" style="0" width="10.85"/>
    <col collapsed="false" customWidth="true" hidden="false" outlineLevel="0" max="10" min="10" style="0" width="11.14"/>
    <col collapsed="false" customWidth="true" hidden="false" outlineLevel="0" max="1025" min="1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I1" s="1" t="s">
        <v>7</v>
      </c>
      <c r="J1" s="1" t="s">
        <v>8</v>
      </c>
    </row>
    <row r="2" customFormat="false" ht="15" hidden="false" customHeight="false" outlineLevel="0" collapsed="false">
      <c r="A2" s="0" t="n">
        <v>2002</v>
      </c>
      <c r="B2" s="0" t="n">
        <v>28</v>
      </c>
      <c r="C2" s="0" t="n">
        <v>1</v>
      </c>
      <c r="D2" s="0" t="n">
        <v>1</v>
      </c>
      <c r="E2" s="0" t="n">
        <v>2</v>
      </c>
      <c r="F2" s="0" t="n">
        <v>0.0068</v>
      </c>
      <c r="G2" s="0" t="n">
        <v>0.168522995463527</v>
      </c>
      <c r="J2" s="1" t="s">
        <v>9</v>
      </c>
      <c r="K2" s="0" t="n">
        <v>1</v>
      </c>
      <c r="L2" s="0" t="s">
        <v>10</v>
      </c>
      <c r="V2" s="0" t="s">
        <v>11</v>
      </c>
    </row>
    <row r="3" customFormat="false" ht="15" hidden="false" customHeight="false" outlineLevel="0" collapsed="false">
      <c r="A3" s="0" t="n">
        <v>2000</v>
      </c>
      <c r="B3" s="0" t="n">
        <v>32</v>
      </c>
      <c r="C3" s="0" t="n">
        <v>2</v>
      </c>
      <c r="D3" s="0" t="n">
        <v>1</v>
      </c>
      <c r="E3" s="0" t="n">
        <v>2</v>
      </c>
      <c r="F3" s="0" t="n">
        <v>0.069</v>
      </c>
      <c r="G3" s="0" t="n">
        <v>0.267207784317748</v>
      </c>
      <c r="K3" s="0" t="n">
        <v>2</v>
      </c>
      <c r="L3" s="0" t="s">
        <v>12</v>
      </c>
    </row>
    <row r="4" customFormat="false" ht="15" hidden="false" customHeight="false" outlineLevel="0" collapsed="false">
      <c r="A4" s="0" t="n">
        <v>2002</v>
      </c>
      <c r="B4" s="0" t="n">
        <v>85</v>
      </c>
      <c r="C4" s="0" t="n">
        <v>3</v>
      </c>
      <c r="D4" s="0" t="n">
        <v>3</v>
      </c>
      <c r="E4" s="0" t="n">
        <v>4</v>
      </c>
      <c r="F4" s="0" t="n">
        <v>0.069</v>
      </c>
      <c r="G4" s="0" t="n">
        <v>0.34828149534536</v>
      </c>
      <c r="K4" s="0" t="n">
        <v>3</v>
      </c>
      <c r="L4" s="0" t="s">
        <v>13</v>
      </c>
    </row>
    <row r="5" customFormat="false" ht="15" hidden="false" customHeight="false" outlineLevel="0" collapsed="false">
      <c r="A5" s="0" t="n">
        <v>2004</v>
      </c>
      <c r="B5" s="0" t="n">
        <v>141</v>
      </c>
      <c r="C5" s="0" t="n">
        <v>4</v>
      </c>
      <c r="D5" s="0" t="n">
        <v>2</v>
      </c>
      <c r="E5" s="0" t="n">
        <v>5</v>
      </c>
      <c r="F5" s="0" t="n">
        <v>0</v>
      </c>
      <c r="G5" s="0" t="n">
        <v>0.167332005306815</v>
      </c>
      <c r="K5" s="0" t="n">
        <v>4</v>
      </c>
      <c r="L5" s="0" t="s">
        <v>14</v>
      </c>
    </row>
    <row r="6" customFormat="false" ht="15" hidden="false" customHeight="false" outlineLevel="0" collapsed="false">
      <c r="A6" s="0" t="n">
        <v>2003</v>
      </c>
      <c r="B6" s="0" t="n">
        <v>147</v>
      </c>
      <c r="C6" s="0" t="n">
        <v>5</v>
      </c>
      <c r="D6" s="0" t="n">
        <v>1</v>
      </c>
      <c r="E6" s="0" t="n">
        <v>6</v>
      </c>
      <c r="F6" s="0" t="n">
        <v>-0.1508</v>
      </c>
      <c r="G6" s="0" t="n">
        <v>0.29732137494637</v>
      </c>
      <c r="K6" s="0" t="n">
        <v>5</v>
      </c>
      <c r="L6" s="0" t="s">
        <v>15</v>
      </c>
    </row>
    <row r="7" customFormat="false" ht="15" hidden="false" customHeight="false" outlineLevel="0" collapsed="false">
      <c r="A7" s="0" t="n">
        <v>2000</v>
      </c>
      <c r="B7" s="0" t="n">
        <v>156</v>
      </c>
      <c r="C7" s="0" t="n">
        <v>6</v>
      </c>
      <c r="D7" s="0" t="n">
        <v>1</v>
      </c>
      <c r="E7" s="0" t="n">
        <v>5</v>
      </c>
      <c r="F7" s="0" t="n">
        <v>0.0254</v>
      </c>
      <c r="G7" s="0" t="n">
        <v>0.170293863659264</v>
      </c>
      <c r="K7" s="0" t="n">
        <v>6</v>
      </c>
      <c r="L7" s="3" t="s">
        <v>16</v>
      </c>
    </row>
    <row r="8" customFormat="false" ht="15" hidden="false" customHeight="false" outlineLevel="0" collapsed="false">
      <c r="A8" s="0" t="n">
        <v>2000</v>
      </c>
      <c r="B8" s="0" t="n">
        <v>157</v>
      </c>
      <c r="C8" s="0" t="n">
        <v>7</v>
      </c>
      <c r="D8" s="0" t="n">
        <v>1</v>
      </c>
      <c r="E8" s="0" t="n">
        <v>5</v>
      </c>
      <c r="F8" s="0" t="n">
        <v>-0.203</v>
      </c>
      <c r="G8" s="0" t="n">
        <v>0.126491106406735</v>
      </c>
      <c r="K8" s="0" t="n">
        <v>7</v>
      </c>
      <c r="L8" s="3" t="s">
        <v>17</v>
      </c>
    </row>
    <row r="9" customFormat="false" ht="15" hidden="false" customHeight="false" outlineLevel="0" collapsed="false">
      <c r="A9" s="0" t="n">
        <v>2000</v>
      </c>
      <c r="B9" s="0" t="n">
        <v>198</v>
      </c>
      <c r="C9" s="0" t="n">
        <v>8</v>
      </c>
      <c r="D9" s="0" t="n">
        <v>1</v>
      </c>
      <c r="E9" s="0" t="n">
        <v>2</v>
      </c>
      <c r="F9" s="0" t="n">
        <v>-0.2103</v>
      </c>
      <c r="G9" s="0" t="n">
        <v>0.1</v>
      </c>
      <c r="K9" s="0" t="n">
        <v>8</v>
      </c>
      <c r="L9" s="3" t="s">
        <v>18</v>
      </c>
    </row>
    <row r="10" customFormat="false" ht="15" hidden="false" customHeight="false" outlineLevel="0" collapsed="false">
      <c r="A10" s="0" t="n">
        <v>1998</v>
      </c>
      <c r="B10" s="0" t="n">
        <v>199</v>
      </c>
      <c r="C10" s="0" t="n">
        <v>9</v>
      </c>
      <c r="D10" s="0" t="n">
        <v>1</v>
      </c>
      <c r="E10" s="0" t="n">
        <v>3</v>
      </c>
      <c r="F10" s="0" t="n">
        <v>-0.317</v>
      </c>
      <c r="G10" s="0" t="n">
        <v>0.150332963783729</v>
      </c>
      <c r="K10" s="0" t="n">
        <v>9</v>
      </c>
      <c r="L10" s="3" t="s">
        <v>19</v>
      </c>
      <c r="P10" s="0" t="s">
        <v>20</v>
      </c>
    </row>
    <row r="11" customFormat="false" ht="15" hidden="false" customHeight="false" outlineLevel="0" collapsed="false">
      <c r="A11" s="0" t="n">
        <v>2004</v>
      </c>
      <c r="B11" s="0" t="n">
        <v>204</v>
      </c>
      <c r="C11" s="0" t="n">
        <v>10</v>
      </c>
      <c r="D11" s="0" t="n">
        <v>2</v>
      </c>
      <c r="E11" s="0" t="n">
        <v>7</v>
      </c>
      <c r="F11" s="0" t="n">
        <v>-0.4155</v>
      </c>
      <c r="G11" s="0" t="n">
        <v>0.104403065089106</v>
      </c>
      <c r="K11" s="0" t="n">
        <v>10</v>
      </c>
      <c r="L11" s="3" t="s">
        <v>21</v>
      </c>
    </row>
    <row r="12" customFormat="false" ht="15" hidden="false" customHeight="false" outlineLevel="0" collapsed="false">
      <c r="A12" s="0" t="n">
        <v>2004</v>
      </c>
      <c r="B12" s="0" t="n">
        <v>301</v>
      </c>
      <c r="C12" s="0" t="n">
        <v>11</v>
      </c>
      <c r="D12" s="0" t="n">
        <v>2</v>
      </c>
      <c r="E12" s="0" t="n">
        <v>5</v>
      </c>
      <c r="F12" s="0" t="n">
        <v>0.1115</v>
      </c>
      <c r="G12" s="0" t="n">
        <v>0.1994993734326</v>
      </c>
      <c r="K12" s="0" t="n">
        <v>11</v>
      </c>
      <c r="L12" s="3" t="s">
        <v>22</v>
      </c>
    </row>
    <row r="13" customFormat="false" ht="15" hidden="false" customHeight="false" outlineLevel="0" collapsed="false">
      <c r="A13" s="0" t="n">
        <v>2004</v>
      </c>
      <c r="B13" s="0" t="n">
        <v>302</v>
      </c>
      <c r="C13" s="0" t="n">
        <v>12</v>
      </c>
      <c r="D13" s="0" t="n">
        <v>1</v>
      </c>
      <c r="E13" s="0" t="n">
        <v>5</v>
      </c>
      <c r="F13" s="0" t="n">
        <v>0.1906</v>
      </c>
      <c r="G13" s="0" t="n">
        <v>0.148660687473185</v>
      </c>
    </row>
    <row r="14" customFormat="false" ht="15" hidden="false" customHeight="false" outlineLevel="0" collapsed="false">
      <c r="A14" s="0" t="n">
        <v>2005</v>
      </c>
      <c r="B14" s="0" t="n">
        <v>306</v>
      </c>
      <c r="C14" s="0" t="n">
        <v>13</v>
      </c>
      <c r="D14" s="0" t="n">
        <v>1</v>
      </c>
      <c r="E14" s="0" t="n">
        <v>6</v>
      </c>
      <c r="F14" s="0" t="n">
        <v>-0.2357</v>
      </c>
      <c r="G14" s="0" t="n">
        <v>0.172336879396141</v>
      </c>
    </row>
    <row r="15" customFormat="false" ht="15" hidden="false" customHeight="false" outlineLevel="0" collapsed="false">
      <c r="A15" s="0" t="n">
        <v>2005</v>
      </c>
      <c r="B15" s="0" t="n">
        <v>308</v>
      </c>
      <c r="C15" s="0" t="n">
        <v>14</v>
      </c>
      <c r="D15" s="0" t="n">
        <v>1</v>
      </c>
      <c r="E15" s="0" t="n">
        <v>2</v>
      </c>
      <c r="F15" s="0" t="n">
        <v>-0.0488</v>
      </c>
      <c r="G15" s="0" t="n">
        <v>0.2</v>
      </c>
    </row>
    <row r="16" customFormat="false" ht="15" hidden="false" customHeight="false" outlineLevel="0" collapsed="false">
      <c r="A16" s="0" t="n">
        <v>2005</v>
      </c>
      <c r="B16" s="0" t="n">
        <v>309</v>
      </c>
      <c r="C16" s="0" t="n">
        <v>15</v>
      </c>
      <c r="D16" s="0" t="n">
        <v>2</v>
      </c>
      <c r="E16" s="0" t="n">
        <v>5</v>
      </c>
      <c r="F16" s="0" t="n">
        <v>-0.2877</v>
      </c>
      <c r="G16" s="0" t="n">
        <v>0.137840487520902</v>
      </c>
    </row>
    <row r="17" customFormat="false" ht="15" hidden="false" customHeight="false" outlineLevel="0" collapsed="false">
      <c r="A17" s="0" t="n">
        <v>2005</v>
      </c>
      <c r="B17" s="0" t="n">
        <v>311</v>
      </c>
      <c r="C17" s="0" t="n">
        <v>16</v>
      </c>
      <c r="D17" s="0" t="n">
        <v>2</v>
      </c>
      <c r="E17" s="0" t="n">
        <v>5</v>
      </c>
      <c r="F17" s="0" t="n">
        <v>0.0296</v>
      </c>
      <c r="G17" s="0" t="n">
        <v>0.157797338380595</v>
      </c>
    </row>
    <row r="18" customFormat="false" ht="15" hidden="false" customHeight="false" outlineLevel="0" collapsed="false">
      <c r="A18" s="0" t="n">
        <v>2005</v>
      </c>
      <c r="B18" s="0" t="n">
        <v>313</v>
      </c>
      <c r="C18" s="0" t="n">
        <v>17</v>
      </c>
      <c r="D18" s="0" t="n">
        <v>6</v>
      </c>
      <c r="E18" s="0" t="n">
        <v>2</v>
      </c>
      <c r="F18" s="0" t="n">
        <v>0.1985</v>
      </c>
      <c r="G18" s="0" t="n">
        <v>0.170293863659264</v>
      </c>
    </row>
    <row r="19" customFormat="false" ht="15" hidden="false" customHeight="false" outlineLevel="0" collapsed="false">
      <c r="A19" s="0" t="n">
        <v>2005</v>
      </c>
      <c r="B19" s="0" t="n">
        <v>316</v>
      </c>
      <c r="C19" s="0" t="n">
        <v>18</v>
      </c>
      <c r="D19" s="0" t="n">
        <v>2</v>
      </c>
      <c r="E19" s="0" t="n">
        <v>5</v>
      </c>
      <c r="F19" s="0" t="n">
        <v>-0.1054</v>
      </c>
      <c r="G19" s="0" t="n">
        <v>0.0974679434480896</v>
      </c>
    </row>
    <row r="20" customFormat="false" ht="15" hidden="false" customHeight="false" outlineLevel="0" collapsed="false">
      <c r="A20" s="0" t="n">
        <v>2005</v>
      </c>
      <c r="B20" s="0" t="n">
        <v>317</v>
      </c>
      <c r="C20" s="0" t="n">
        <v>19</v>
      </c>
      <c r="D20" s="0" t="n">
        <v>1</v>
      </c>
      <c r="E20" s="0" t="n">
        <v>2</v>
      </c>
      <c r="F20" s="0" t="n">
        <v>-0.1278</v>
      </c>
      <c r="G20" s="0" t="n">
        <v>0.117473401244707</v>
      </c>
    </row>
    <row r="21" customFormat="false" ht="15" hidden="false" customHeight="false" outlineLevel="0" collapsed="false">
      <c r="A21" s="0" t="n">
        <v>2005</v>
      </c>
      <c r="B21" s="0" t="n">
        <v>324</v>
      </c>
      <c r="C21" s="0" t="n">
        <v>20</v>
      </c>
      <c r="D21" s="0" t="n">
        <v>3</v>
      </c>
      <c r="E21" s="0" t="n">
        <v>4</v>
      </c>
      <c r="F21" s="0" t="n">
        <v>-0.2789</v>
      </c>
      <c r="G21" s="0" t="n">
        <v>0.343074335968169</v>
      </c>
    </row>
    <row r="22" customFormat="false" ht="15" hidden="false" customHeight="false" outlineLevel="0" collapsed="false">
      <c r="A22" s="0" t="n">
        <v>2006</v>
      </c>
      <c r="B22" s="0" t="n">
        <v>333</v>
      </c>
      <c r="C22" s="0" t="n">
        <v>21</v>
      </c>
      <c r="D22" s="0" t="n">
        <v>1</v>
      </c>
      <c r="E22" s="0" t="n">
        <v>5</v>
      </c>
      <c r="F22" s="0" t="n">
        <v>-0.0608</v>
      </c>
      <c r="G22" s="0" t="n">
        <v>0.121243556529821</v>
      </c>
    </row>
    <row r="23" customFormat="false" ht="15" hidden="false" customHeight="false" outlineLevel="0" collapsed="false">
      <c r="A23" s="0" t="n">
        <v>2006</v>
      </c>
      <c r="B23" s="0" t="n">
        <v>334</v>
      </c>
      <c r="C23" s="0" t="n">
        <v>22</v>
      </c>
      <c r="D23" s="0" t="n">
        <v>2</v>
      </c>
      <c r="E23" s="0" t="n">
        <v>8</v>
      </c>
      <c r="F23" s="0" t="n">
        <v>-0.146</v>
      </c>
      <c r="G23" s="0" t="n">
        <v>0.150996688705415</v>
      </c>
    </row>
    <row r="24" customFormat="false" ht="15" hidden="false" customHeight="false" outlineLevel="0" collapsed="false">
      <c r="A24" s="0" t="n">
        <v>2006</v>
      </c>
      <c r="B24" s="0" t="n">
        <v>400</v>
      </c>
      <c r="C24" s="0" t="n">
        <v>23</v>
      </c>
      <c r="D24" s="0" t="n">
        <v>2</v>
      </c>
      <c r="E24" s="0" t="n">
        <v>5</v>
      </c>
      <c r="F24" s="0" t="n">
        <v>-0.2744</v>
      </c>
      <c r="G24" s="0" t="n">
        <v>0.122065556157337</v>
      </c>
    </row>
    <row r="25" customFormat="false" ht="15" hidden="false" customHeight="false" outlineLevel="0" collapsed="false">
      <c r="A25" s="0" t="n">
        <v>2006</v>
      </c>
      <c r="B25" s="0" t="n">
        <v>401</v>
      </c>
      <c r="C25" s="0" t="n">
        <v>24</v>
      </c>
      <c r="D25" s="0" t="n">
        <v>1</v>
      </c>
      <c r="E25" s="0" t="n">
        <v>2</v>
      </c>
      <c r="F25" s="0" t="n">
        <v>-0.1398</v>
      </c>
      <c r="G25" s="0" t="n">
        <v>0.161245154965971</v>
      </c>
    </row>
    <row r="26" customFormat="false" ht="15" hidden="false" customHeight="false" outlineLevel="0" collapsed="false">
      <c r="A26" s="0" t="n">
        <v>2007</v>
      </c>
      <c r="B26" s="0" t="n">
        <v>500</v>
      </c>
      <c r="C26" s="0" t="n">
        <v>25</v>
      </c>
      <c r="D26" s="0" t="n">
        <v>2</v>
      </c>
      <c r="E26" s="0" t="n">
        <v>8</v>
      </c>
      <c r="F26" s="0" t="n">
        <v>-0.3567</v>
      </c>
      <c r="G26" s="0" t="n">
        <v>0.166433169770932</v>
      </c>
    </row>
    <row r="27" customFormat="false" ht="15" hidden="false" customHeight="false" outlineLevel="0" collapsed="false">
      <c r="A27" s="0" t="n">
        <v>2007</v>
      </c>
      <c r="B27" s="0" t="n">
        <v>502</v>
      </c>
      <c r="C27" s="0" t="n">
        <v>26</v>
      </c>
      <c r="D27" s="0" t="n">
        <v>2</v>
      </c>
      <c r="E27" s="0" t="n">
        <v>3</v>
      </c>
      <c r="F27" s="0" t="n">
        <v>-0.2744</v>
      </c>
      <c r="G27" s="0" t="n">
        <v>0.331963853453957</v>
      </c>
    </row>
    <row r="28" customFormat="false" ht="15" hidden="false" customHeight="false" outlineLevel="0" collapsed="false">
      <c r="A28" s="0" t="n">
        <v>2007</v>
      </c>
      <c r="B28" s="0" t="n">
        <v>601</v>
      </c>
      <c r="C28" s="0" t="n">
        <v>27</v>
      </c>
      <c r="D28" s="0" t="n">
        <v>5</v>
      </c>
      <c r="E28" s="0" t="n">
        <v>9</v>
      </c>
      <c r="F28" s="0" t="n">
        <v>-0.1165</v>
      </c>
      <c r="G28" s="0" t="n">
        <v>0.06557438524302</v>
      </c>
    </row>
    <row r="29" customFormat="false" ht="15" hidden="false" customHeight="false" outlineLevel="0" collapsed="false">
      <c r="A29" s="0" t="n">
        <v>2007</v>
      </c>
      <c r="B29" s="0" t="n">
        <v>602</v>
      </c>
      <c r="C29" s="0" t="n">
        <v>28</v>
      </c>
      <c r="D29" s="0" t="n">
        <v>1</v>
      </c>
      <c r="E29" s="0" t="n">
        <v>2</v>
      </c>
      <c r="F29" s="0" t="n">
        <v>-0.0834</v>
      </c>
      <c r="G29" s="0" t="n">
        <v>0.08</v>
      </c>
    </row>
    <row r="30" customFormat="false" ht="15" hidden="false" customHeight="false" outlineLevel="0" collapsed="false">
      <c r="A30" s="0" t="n">
        <v>2007</v>
      </c>
      <c r="B30" s="0" t="n">
        <v>705</v>
      </c>
      <c r="C30" s="0" t="n">
        <v>29</v>
      </c>
      <c r="D30" s="0" t="n">
        <v>1</v>
      </c>
      <c r="E30" s="0" t="n">
        <v>3</v>
      </c>
      <c r="F30" s="0" t="n">
        <v>0.2706</v>
      </c>
      <c r="G30" s="0" t="n">
        <v>0.182482875908947</v>
      </c>
    </row>
    <row r="31" customFormat="false" ht="15" hidden="false" customHeight="false" outlineLevel="0" collapsed="false">
      <c r="A31" s="0" t="n">
        <v>2004</v>
      </c>
      <c r="B31" s="0" t="n">
        <v>142.01</v>
      </c>
      <c r="C31" s="0" t="n">
        <v>30</v>
      </c>
      <c r="D31" s="0" t="n">
        <v>2</v>
      </c>
      <c r="E31" s="0" t="n">
        <v>5</v>
      </c>
      <c r="F31" s="0" t="n">
        <v>-0.4155</v>
      </c>
      <c r="G31" s="0" t="n">
        <v>0.106770782520313</v>
      </c>
    </row>
    <row r="32" customFormat="false" ht="15" hidden="false" customHeight="false" outlineLevel="0" collapsed="false">
      <c r="A32" s="0" t="n">
        <v>2004</v>
      </c>
      <c r="B32" s="0" t="n">
        <v>142.02</v>
      </c>
      <c r="C32" s="0" t="n">
        <v>30</v>
      </c>
      <c r="D32" s="0" t="n">
        <v>2</v>
      </c>
      <c r="E32" s="0" t="n">
        <v>10</v>
      </c>
      <c r="F32" s="0" t="n">
        <v>-0.2107</v>
      </c>
      <c r="G32" s="0" t="n">
        <v>0.105830052442584</v>
      </c>
    </row>
    <row r="33" customFormat="false" ht="15" hidden="false" customHeight="false" outlineLevel="0" collapsed="false">
      <c r="A33" s="4" t="n">
        <v>2004</v>
      </c>
      <c r="C33" s="4" t="n">
        <v>30</v>
      </c>
      <c r="D33" s="4" t="n">
        <v>5</v>
      </c>
      <c r="E33" s="4" t="n">
        <v>10</v>
      </c>
      <c r="F33" s="4" t="n">
        <f aca="false">F32-F31</f>
        <v>0.2048</v>
      </c>
      <c r="G33" s="4" t="n">
        <f aca="false">SQRT(G31^2+G32^2)</f>
        <v>0.150332963783729</v>
      </c>
    </row>
    <row r="34" customFormat="false" ht="15" hidden="false" customHeight="false" outlineLevel="0" collapsed="false">
      <c r="A34" s="0" t="n">
        <v>2003</v>
      </c>
      <c r="B34" s="0" t="n">
        <v>146.01</v>
      </c>
      <c r="C34" s="0" t="n">
        <v>31</v>
      </c>
      <c r="D34" s="0" t="n">
        <v>1</v>
      </c>
      <c r="E34" s="0" t="n">
        <v>4</v>
      </c>
      <c r="F34" s="0" t="n">
        <v>-0.0326</v>
      </c>
      <c r="G34" s="0" t="n">
        <v>0.378021163428716</v>
      </c>
    </row>
    <row r="35" customFormat="false" ht="15" hidden="false" customHeight="false" outlineLevel="0" collapsed="false">
      <c r="A35" s="0" t="n">
        <v>2003</v>
      </c>
      <c r="B35" s="0" t="n">
        <v>146.02</v>
      </c>
      <c r="C35" s="0" t="n">
        <v>31</v>
      </c>
      <c r="D35" s="0" t="n">
        <v>1</v>
      </c>
      <c r="E35" s="0" t="n">
        <v>5</v>
      </c>
      <c r="F35" s="0" t="n">
        <v>-0.6997</v>
      </c>
      <c r="G35" s="0" t="n">
        <v>0.436463056855904</v>
      </c>
    </row>
    <row r="36" s="4" customFormat="true" ht="15" hidden="false" customHeight="false" outlineLevel="0" collapsed="false">
      <c r="A36" s="4" t="n">
        <v>2003</v>
      </c>
      <c r="C36" s="4" t="n">
        <v>31</v>
      </c>
      <c r="D36" s="4" t="n">
        <v>4</v>
      </c>
      <c r="E36" s="4" t="n">
        <v>5</v>
      </c>
      <c r="F36" s="4" t="n">
        <f aca="false">F35-F34</f>
        <v>-0.6671</v>
      </c>
      <c r="G36" s="4" t="n">
        <f aca="false">SQRT(G34^2+G35^2)</f>
        <v>0.577408001330082</v>
      </c>
    </row>
    <row r="37" customFormat="false" ht="15" hidden="false" customHeight="false" outlineLevel="0" collapsed="false">
      <c r="A37" s="0" t="n">
        <v>2000</v>
      </c>
      <c r="B37" s="0" t="n">
        <v>206.01</v>
      </c>
      <c r="C37" s="0" t="n">
        <v>32</v>
      </c>
      <c r="D37" s="0" t="n">
        <v>1</v>
      </c>
      <c r="E37" s="0" t="n">
        <v>3</v>
      </c>
      <c r="F37" s="0" t="n">
        <v>0.0488</v>
      </c>
      <c r="G37" s="0" t="n">
        <v>0.11</v>
      </c>
    </row>
    <row r="38" customFormat="false" ht="15" hidden="false" customHeight="false" outlineLevel="0" collapsed="false">
      <c r="A38" s="0" t="n">
        <v>2000</v>
      </c>
      <c r="B38" s="0" t="n">
        <v>206.02</v>
      </c>
      <c r="C38" s="0" t="n">
        <v>32</v>
      </c>
      <c r="D38" s="0" t="n">
        <v>1</v>
      </c>
      <c r="E38" s="0" t="n">
        <v>2</v>
      </c>
      <c r="F38" s="0" t="n">
        <v>-0.2485</v>
      </c>
      <c r="G38" s="0" t="n">
        <v>0.11</v>
      </c>
    </row>
    <row r="39" s="4" customFormat="true" ht="15" hidden="false" customHeight="false" outlineLevel="0" collapsed="false">
      <c r="A39" s="4" t="n">
        <v>2000</v>
      </c>
      <c r="C39" s="4" t="n">
        <v>32</v>
      </c>
      <c r="D39" s="4" t="n">
        <v>3</v>
      </c>
      <c r="E39" s="4" t="n">
        <v>2</v>
      </c>
      <c r="F39" s="4" t="n">
        <f aca="false">F38-F37</f>
        <v>-0.2973</v>
      </c>
      <c r="G39" s="4" t="n">
        <f aca="false">SQRT(G37^2+G38^2)</f>
        <v>0.15556349186104</v>
      </c>
    </row>
    <row r="40" customFormat="false" ht="15" hidden="false" customHeight="false" outlineLevel="0" collapsed="false">
      <c r="A40" s="0" t="n">
        <v>2007</v>
      </c>
      <c r="B40" s="0" t="n">
        <v>501.01</v>
      </c>
      <c r="C40" s="0" t="n">
        <v>33</v>
      </c>
      <c r="D40" s="0" t="n">
        <v>5</v>
      </c>
      <c r="E40" s="0" t="n">
        <v>9</v>
      </c>
      <c r="F40" s="0" t="n">
        <v>-0.2852</v>
      </c>
      <c r="G40" s="0" t="n">
        <v>0.0877496438739212</v>
      </c>
    </row>
    <row r="41" customFormat="false" ht="15" hidden="false" customHeight="false" outlineLevel="0" collapsed="false">
      <c r="A41" s="0" t="n">
        <v>2007</v>
      </c>
      <c r="B41" s="0" t="n">
        <v>501.02</v>
      </c>
      <c r="C41" s="0" t="n">
        <v>33</v>
      </c>
      <c r="D41" s="0" t="n">
        <v>11</v>
      </c>
      <c r="E41" s="0" t="n">
        <v>5</v>
      </c>
      <c r="F41" s="0" t="n">
        <v>-0.0572</v>
      </c>
      <c r="G41" s="0" t="n">
        <v>0.091104335791443</v>
      </c>
    </row>
    <row r="42" s="4" customFormat="true" ht="15" hidden="false" customHeight="false" outlineLevel="0" collapsed="false">
      <c r="A42" s="4" t="n">
        <v>2007</v>
      </c>
      <c r="C42" s="4" t="n">
        <v>33</v>
      </c>
      <c r="D42" s="4" t="n">
        <v>9</v>
      </c>
      <c r="E42" s="4" t="n">
        <v>11</v>
      </c>
      <c r="F42" s="4" t="n">
        <f aca="false">-F41-F40</f>
        <v>0.3424</v>
      </c>
      <c r="G42" s="4" t="n">
        <f aca="false">SQRT(G40^2+G41^2)</f>
        <v>0.126491106406735</v>
      </c>
    </row>
    <row r="43" customFormat="false" ht="15" hidden="false" customHeight="false" outlineLevel="0" collapsed="false">
      <c r="A43" s="0" t="n">
        <v>2007</v>
      </c>
      <c r="B43" s="0" t="n">
        <v>603.01</v>
      </c>
      <c r="C43" s="0" t="n">
        <v>34</v>
      </c>
      <c r="D43" s="0" t="n">
        <v>2</v>
      </c>
      <c r="E43" s="0" t="n">
        <v>5</v>
      </c>
      <c r="F43" s="0" t="n">
        <v>0.1089</v>
      </c>
      <c r="G43" s="0" t="n">
        <v>0.0818535277187245</v>
      </c>
    </row>
    <row r="44" customFormat="false" ht="15" hidden="false" customHeight="false" outlineLevel="0" collapsed="false">
      <c r="A44" s="0" t="n">
        <v>2007</v>
      </c>
      <c r="B44" s="0" t="n">
        <v>603.02</v>
      </c>
      <c r="C44" s="0" t="n">
        <v>34</v>
      </c>
      <c r="D44" s="0" t="n">
        <v>1</v>
      </c>
      <c r="E44" s="0" t="n">
        <v>2</v>
      </c>
      <c r="F44" s="0" t="n">
        <v>-0.1222</v>
      </c>
      <c r="G44" s="0" t="n">
        <v>0.0640312423743285</v>
      </c>
    </row>
    <row r="45" s="4" customFormat="true" ht="15" hidden="false" customHeight="false" outlineLevel="0" collapsed="false">
      <c r="A45" s="4" t="n">
        <v>2007</v>
      </c>
      <c r="C45" s="4" t="n">
        <v>34</v>
      </c>
      <c r="D45" s="4" t="n">
        <v>5</v>
      </c>
      <c r="E45" s="4" t="n">
        <v>1</v>
      </c>
      <c r="F45" s="4" t="n">
        <f aca="false">-F44-F43</f>
        <v>0.0133</v>
      </c>
      <c r="G45" s="4" t="n">
        <f aca="false">SQRT(G43^2+G44^2)</f>
        <v>0.103923048454133</v>
      </c>
    </row>
    <row r="46" customFormat="false" ht="15" hidden="false" customHeight="false" outlineLevel="0" collapsed="false">
      <c r="A46" s="0" t="n">
        <v>2007</v>
      </c>
      <c r="B46" s="0" t="n">
        <v>604.01</v>
      </c>
      <c r="C46" s="0" t="n">
        <v>35</v>
      </c>
      <c r="D46" s="0" t="n">
        <v>2</v>
      </c>
      <c r="E46" s="0" t="n">
        <v>5</v>
      </c>
      <c r="F46" s="0" t="n">
        <v>0.0583</v>
      </c>
      <c r="G46" s="0" t="n">
        <v>0.0787400787401181</v>
      </c>
    </row>
    <row r="47" customFormat="false" ht="15" hidden="false" customHeight="false" outlineLevel="0" collapsed="false">
      <c r="A47" s="0" t="n">
        <v>2007</v>
      </c>
      <c r="B47" s="0" t="n">
        <v>604.02</v>
      </c>
      <c r="C47" s="0" t="n">
        <v>35</v>
      </c>
      <c r="D47" s="0" t="n">
        <v>2</v>
      </c>
      <c r="E47" s="0" t="n">
        <v>3</v>
      </c>
      <c r="F47" s="0" t="n">
        <v>0.0953</v>
      </c>
      <c r="G47" s="0" t="n">
        <v>0.0678232998312527</v>
      </c>
    </row>
    <row r="48" s="4" customFormat="true" ht="15" hidden="false" customHeight="false" outlineLevel="0" collapsed="false">
      <c r="A48" s="4" t="n">
        <v>2007</v>
      </c>
      <c r="C48" s="4" t="n">
        <v>35</v>
      </c>
      <c r="D48" s="5" t="n">
        <v>5</v>
      </c>
      <c r="E48" s="5" t="n">
        <v>3</v>
      </c>
      <c r="F48" s="4" t="n">
        <f aca="false">F47-F46</f>
        <v>0.037</v>
      </c>
      <c r="G48" s="4" t="n">
        <f aca="false">SQRT(G46^2+G47^2)</f>
        <v>0.103923048454133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302F6A-8928-4A3D-9EAF-C917721C79B6}"/>
</file>

<file path=customXml/itemProps2.xml><?xml version="1.0" encoding="utf-8"?>
<ds:datastoreItem xmlns:ds="http://schemas.openxmlformats.org/officeDocument/2006/customXml" ds:itemID="{2649070C-6100-4A61-A071-C83F8C72871F}"/>
</file>

<file path=customXml/itemProps3.xml><?xml version="1.0" encoding="utf-8"?>
<ds:datastoreItem xmlns:ds="http://schemas.openxmlformats.org/officeDocument/2006/customXml" ds:itemID="{20EBC228-4DF2-4493-A3A3-BBCFBE530B4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Theodore Papakonstantinou</cp:lastModifiedBy>
  <cp:revision>1</cp:revision>
  <dcterms:created xsi:type="dcterms:W3CDTF">2006-09-16T00:00:00Z</dcterms:created>
  <dcterms:modified xsi:type="dcterms:W3CDTF">2019-04-12T16:58:16Z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