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Files_519NMADBEvidenceSynt_2024-04-10_1156/documents/"/>
    </mc:Choice>
  </mc:AlternateContent>
  <xr:revisionPtr revIDLastSave="5" documentId="8_{862CBFE2-A39A-4148-9D93-914192D8DC74}" xr6:coauthVersionLast="47" xr6:coauthVersionMax="47" xr10:uidLastSave="{33879BB6-6DCB-423D-BBDC-96150AC22BAF}"/>
  <bookViews>
    <workbookView xWindow="-110" yWindow="-110" windowWidth="19420" windowHeight="10420" xr2:uid="{1E49796B-E6DC-40EE-BBBB-326FF60207F3}"/>
  </bookViews>
  <sheets>
    <sheet name="Φύλλο1" sheetId="1" r:id="rId1"/>
  </sheets>
  <definedNames>
    <definedName name="_xlnm._FilterDatabase" localSheetId="0" hidden="1">Φύλλο1!$A$1:$I$51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<sst xmlns="http://schemas.openxmlformats.org/spreadsheetml/2006/main" count="68" uniqueCount="68">
  <si>
    <t xml:space="preserve">Type of DPP4 inhibitor + insulin-based therapy </t>
  </si>
  <si>
    <t xml:space="preserve">Type of SGLT2 inhibitor + insulin-based therapy </t>
  </si>
  <si>
    <t>Type of TZD + insulin-based therapy</t>
  </si>
  <si>
    <t xml:space="preserve">Type of GLP-1 analogue + insulin-based therapy </t>
  </si>
  <si>
    <t>Treatments</t>
  </si>
  <si>
    <t>Year</t>
  </si>
  <si>
    <t>y</t>
  </si>
  <si>
    <t>CIL</t>
  </si>
  <si>
    <t>CIU</t>
  </si>
  <si>
    <t>SE</t>
  </si>
  <si>
    <t>t1</t>
  </si>
  <si>
    <t>t2</t>
  </si>
  <si>
    <t>Control: Placebo + insulin-based therapy</t>
  </si>
  <si>
    <t>Franc et al, 2015</t>
  </si>
  <si>
    <t>Fonseca et al 2007</t>
  </si>
  <si>
    <t>Hirose et al,2015</t>
  </si>
  <si>
    <t>Kadowaki et al,2013</t>
  </si>
  <si>
    <t>Kaku et al,2014</t>
  </si>
  <si>
    <t>Kolthny et al,2013</t>
  </si>
  <si>
    <t>Mathieu et al,2015</t>
  </si>
  <si>
    <t>Ning et al,2016</t>
  </si>
  <si>
    <t>Rosenstock et al,2009</t>
  </si>
  <si>
    <t>Sato et al,2015</t>
  </si>
  <si>
    <t>Shankar et al,2016</t>
  </si>
  <si>
    <t>Vilsboll et al,2010</t>
  </si>
  <si>
    <t>Yki-Jarvinen et al,2013</t>
  </si>
  <si>
    <t>NCT02081599</t>
  </si>
  <si>
    <t>Ahmann et al,2015</t>
  </si>
  <si>
    <t>Aroda et al,2016</t>
  </si>
  <si>
    <t>Buse et al,2011</t>
  </si>
  <si>
    <t>Buse et al,2014</t>
  </si>
  <si>
    <t>De wit et al,2014</t>
  </si>
  <si>
    <t>Distiller et al,2014</t>
  </si>
  <si>
    <t>Lind et al,2015</t>
  </si>
  <si>
    <t>Lingvay et al,2016</t>
  </si>
  <si>
    <t>Riddle et al, 2013 (GetGoal-L)</t>
  </si>
  <si>
    <t>Riddle et al, 2013 (GetGoal-Duo 1)</t>
  </si>
  <si>
    <t>Seino et al,2012</t>
  </si>
  <si>
    <t>Seino et al,2016</t>
  </si>
  <si>
    <t>NCT02152371</t>
  </si>
  <si>
    <t>Araki et al,2016</t>
  </si>
  <si>
    <t>Cefalu et al,2015</t>
  </si>
  <si>
    <t>Inagaki et al,2016</t>
  </si>
  <si>
    <t>Neal et al,2015</t>
  </si>
  <si>
    <t>Rosenstock et al,2014</t>
  </si>
  <si>
    <t>Rosenstock et al,2015</t>
  </si>
  <si>
    <t>Wilding et al,2009</t>
  </si>
  <si>
    <t>Wilding et al,2012</t>
  </si>
  <si>
    <t>NCT02096705</t>
  </si>
  <si>
    <t>Asnani et al,2006</t>
  </si>
  <si>
    <t>Buse et al,1998</t>
  </si>
  <si>
    <t>Hanefeld et al,2011</t>
  </si>
  <si>
    <t>Hollander et al,2007</t>
  </si>
  <si>
    <t>Mattoo et al,2005</t>
  </si>
  <si>
    <t>Naka et al,2011</t>
  </si>
  <si>
    <t>Raskin et al,2001</t>
  </si>
  <si>
    <t>Reynolds et al,2002</t>
  </si>
  <si>
    <t>Shah et al,2011</t>
  </si>
  <si>
    <t>Yilmaz et al,2007</t>
  </si>
  <si>
    <t>Henriksen et al,2011</t>
  </si>
  <si>
    <t>Hodis et al,2006</t>
  </si>
  <si>
    <t>Yasunari et al,2011</t>
  </si>
  <si>
    <t>Bamett et al, 2012</t>
  </si>
  <si>
    <t>Beneficial</t>
  </si>
  <si>
    <r>
      <t xml:space="preserve">Outcome: </t>
    </r>
    <r>
      <rPr>
        <sz val="11"/>
        <color theme="1"/>
        <rFont val="Calibri"/>
        <family val="2"/>
        <scheme val="minor"/>
      </rPr>
      <t>hange in glycated hemoglobin A1c (HbA1c) from
baseline</t>
    </r>
  </si>
  <si>
    <t>y=WMD</t>
  </si>
  <si>
    <t>Study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</si>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</sst>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 applyAlignment="1">
      <alignment horizontal="left" vertical="center" indent="14"/>
    </xf>
    <xf numFmtId="0" fontId="2" fillId="2" borderId="0" xfId="0" applyFont="1" applyFill="1"/>
    <xf numFmtId="0" fontId="1" fillId="2" borderId="0" xfId="0" applyFont="1" applyFill="1"/>
  </cellXfs>
  <cellStyles count="2">
    <cellStyle name="Normal" xfId="0" builtinId="0"/>
    <cellStyle name="Κανονικό 2" xfId="1" xr:uid="{037C91D0-3C3D-4F42-A791-96F2C17220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124558</xdr:colOff>
      <xdr:row>10</xdr:row>
      <xdr:rowOff>168519</xdr:rowOff>
    </xdr:from>
    <xdr:to>
      <xdr:col>20</xdr:col>
      <xdr:colOff>600808</xdr:colOff>
      <xdr:row>42</xdr:row>
      <xdr:rowOff>55194</xdr:rowOff>
    </xdr:to>
    <xdr:pic>
      <xdr:nvPicPr>
        <xdr:cNvPr id="2" name="image2.jpeg">
          <a:extLst>
            <a:ext uri="{FF2B5EF4-FFF2-40B4-BE49-F238E27FC236}">
              <a16:creationId xmlns:a16="http://schemas.microsoft.com/office/drawing/2014/main" id="{76E4198B-15B5-4EAF-AD06-986B426C4E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19846" y="2073519"/>
          <a:ext cx="4125058" cy="598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E748-B5AF-42DF-9296-F838375771FB}">
  <dimension ref="A1:U51"/>
  <sheetViews>
    <sheetView tabSelected="1" zoomScale="130" zoomScaleNormal="130" workbookViewId="0">
      <selection activeCell="A2" sqref="A2"/>
    </sheetView>
  </sheetViews>
  <sheetFormatPr defaultRowHeight="14.5" x14ac:dyDescent="0.35"/>
  <cols>
    <col min="2" max="2" width="19.26953125" bestFit="1" customWidth="1"/>
  </cols>
  <sheetData>
    <row r="1" spans="1:21" x14ac:dyDescent="0.35">
      <c r="A1" s="1" t="s">
        <v>67</v>
      </c>
      <c r="B1" s="1" t="s">
        <v>66</v>
      </c>
      <c r="C1" s="1" t="s">
        <v>5</v>
      </c>
      <c r="D1" s="1" t="s">
        <v>10</v>
      </c>
      <c r="E1" s="1" t="s">
        <v>11</v>
      </c>
      <c r="F1" s="1" t="s">
        <v>6</v>
      </c>
      <c r="G1" s="1" t="s">
        <v>7</v>
      </c>
      <c r="H1" s="1" t="s">
        <v>8</v>
      </c>
      <c r="I1" s="1" t="s">
        <v>9</v>
      </c>
      <c r="K1" s="2" t="s">
        <v>63</v>
      </c>
      <c r="L1" s="1" t="s">
        <v>64</v>
      </c>
    </row>
    <row r="2" spans="1:21" x14ac:dyDescent="0.35">
      <c r="A2">
        <v>1</v>
      </c>
      <c r="B2" t="s">
        <v>62</v>
      </c>
      <c r="C2">
        <v>2012</v>
      </c>
      <c r="D2">
        <v>5</v>
      </c>
      <c r="E2">
        <v>1</v>
      </c>
      <c r="F2">
        <v>-0.32</v>
      </c>
      <c r="G2">
        <v>-0.47</v>
      </c>
      <c r="H2">
        <v>-0.17</v>
      </c>
      <c r="I2">
        <f t="shared" ref="I2:I33" si="0">(H2-G2)/(2*1.96)</f>
        <v>7.6530612244897947E-2</v>
      </c>
      <c r="L2" t="s">
        <v>65</v>
      </c>
    </row>
    <row r="3" spans="1:21" x14ac:dyDescent="0.35">
      <c r="A3">
        <v>2</v>
      </c>
      <c r="B3" t="s">
        <v>14</v>
      </c>
      <c r="C3">
        <v>2007</v>
      </c>
      <c r="D3">
        <v>5</v>
      </c>
      <c r="E3">
        <v>1</v>
      </c>
      <c r="F3">
        <v>-0.2</v>
      </c>
      <c r="G3">
        <v>-0.4</v>
      </c>
      <c r="H3">
        <v>0</v>
      </c>
      <c r="I3">
        <f t="shared" si="0"/>
        <v>0.10204081632653061</v>
      </c>
    </row>
    <row r="4" spans="1:21" x14ac:dyDescent="0.35">
      <c r="A4">
        <v>3</v>
      </c>
      <c r="B4" t="s">
        <v>13</v>
      </c>
      <c r="C4">
        <v>2015</v>
      </c>
      <c r="D4">
        <v>5</v>
      </c>
      <c r="E4">
        <v>1</v>
      </c>
      <c r="F4">
        <v>0.3</v>
      </c>
      <c r="G4">
        <v>-0.33</v>
      </c>
      <c r="H4">
        <v>0.93</v>
      </c>
      <c r="I4">
        <f t="shared" si="0"/>
        <v>0.32142857142857145</v>
      </c>
    </row>
    <row r="5" spans="1:21" x14ac:dyDescent="0.35">
      <c r="A5">
        <v>4</v>
      </c>
      <c r="B5" t="s">
        <v>15</v>
      </c>
      <c r="C5">
        <v>2015</v>
      </c>
      <c r="D5">
        <v>5</v>
      </c>
      <c r="E5">
        <v>1</v>
      </c>
      <c r="F5">
        <v>-0.11</v>
      </c>
      <c r="G5">
        <v>-0.23</v>
      </c>
      <c r="H5">
        <v>0.01</v>
      </c>
      <c r="I5">
        <f t="shared" si="0"/>
        <v>6.1224489795918373E-2</v>
      </c>
      <c r="P5" s="6" t="s">
        <v>4</v>
      </c>
      <c r="Q5" s="4"/>
      <c r="R5" s="3"/>
      <c r="S5" s="3"/>
      <c r="T5" s="3"/>
      <c r="U5" s="3"/>
    </row>
    <row r="6" spans="1:21" x14ac:dyDescent="0.35">
      <c r="A6">
        <v>5</v>
      </c>
      <c r="B6" t="s">
        <v>16</v>
      </c>
      <c r="C6">
        <v>2013</v>
      </c>
      <c r="D6">
        <v>5</v>
      </c>
      <c r="E6">
        <v>1</v>
      </c>
      <c r="F6">
        <v>0.3</v>
      </c>
      <c r="G6">
        <v>0.1</v>
      </c>
      <c r="H6">
        <v>0.5</v>
      </c>
      <c r="I6">
        <f t="shared" si="0"/>
        <v>0.10204081632653061</v>
      </c>
      <c r="P6" s="3">
        <v>1</v>
      </c>
      <c r="Q6" s="5" t="s">
        <v>0</v>
      </c>
      <c r="R6" s="3"/>
      <c r="S6" s="3"/>
      <c r="T6" s="3"/>
      <c r="U6" s="3"/>
    </row>
    <row r="7" spans="1:21" x14ac:dyDescent="0.35">
      <c r="A7">
        <v>6</v>
      </c>
      <c r="B7" t="s">
        <v>17</v>
      </c>
      <c r="C7">
        <v>2014</v>
      </c>
      <c r="D7">
        <v>5</v>
      </c>
      <c r="E7">
        <v>1</v>
      </c>
      <c r="F7">
        <v>-0.28999999999999998</v>
      </c>
      <c r="G7">
        <v>-0.45</v>
      </c>
      <c r="H7">
        <v>-0.13</v>
      </c>
      <c r="I7">
        <f t="shared" si="0"/>
        <v>8.1632653061224497E-2</v>
      </c>
      <c r="P7" s="3">
        <v>2</v>
      </c>
      <c r="Q7" s="5" t="s">
        <v>1</v>
      </c>
      <c r="R7" s="3"/>
      <c r="S7" s="3"/>
      <c r="T7" s="3"/>
      <c r="U7" s="3"/>
    </row>
    <row r="8" spans="1:21" x14ac:dyDescent="0.35">
      <c r="A8">
        <v>7</v>
      </c>
      <c r="B8" t="s">
        <v>18</v>
      </c>
      <c r="C8">
        <v>2013</v>
      </c>
      <c r="D8">
        <v>5</v>
      </c>
      <c r="E8">
        <v>1</v>
      </c>
      <c r="F8">
        <v>-0.1</v>
      </c>
      <c r="G8">
        <v>-0.3</v>
      </c>
      <c r="H8">
        <v>0.1</v>
      </c>
      <c r="I8">
        <f t="shared" si="0"/>
        <v>0.10204081632653061</v>
      </c>
      <c r="P8" s="3">
        <v>3</v>
      </c>
      <c r="Q8" s="5" t="s">
        <v>2</v>
      </c>
      <c r="R8" s="3"/>
      <c r="S8" s="3"/>
      <c r="T8" s="3"/>
      <c r="U8" s="3"/>
    </row>
    <row r="9" spans="1:21" x14ac:dyDescent="0.35">
      <c r="A9">
        <v>8</v>
      </c>
      <c r="B9" t="s">
        <v>19</v>
      </c>
      <c r="C9">
        <v>2015</v>
      </c>
      <c r="D9">
        <v>5</v>
      </c>
      <c r="E9">
        <v>1</v>
      </c>
      <c r="F9">
        <v>-0.9</v>
      </c>
      <c r="G9">
        <v>-1</v>
      </c>
      <c r="H9">
        <v>-0.8</v>
      </c>
      <c r="I9">
        <f t="shared" si="0"/>
        <v>5.1020408163265293E-2</v>
      </c>
      <c r="P9" s="3">
        <v>4</v>
      </c>
      <c r="Q9" s="5" t="s">
        <v>3</v>
      </c>
      <c r="R9" s="3"/>
      <c r="S9" s="3"/>
      <c r="T9" s="3"/>
      <c r="U9" s="3"/>
    </row>
    <row r="10" spans="1:21" x14ac:dyDescent="0.35">
      <c r="A10">
        <v>9</v>
      </c>
      <c r="B10" t="s">
        <v>20</v>
      </c>
      <c r="C10">
        <v>2016</v>
      </c>
      <c r="D10">
        <v>5</v>
      </c>
      <c r="E10">
        <v>1</v>
      </c>
      <c r="F10">
        <v>-0.38</v>
      </c>
      <c r="G10">
        <v>-0.62</v>
      </c>
      <c r="H10">
        <v>-0.14000000000000001</v>
      </c>
      <c r="I10">
        <f t="shared" si="0"/>
        <v>0.12244897959183673</v>
      </c>
      <c r="P10" s="3">
        <v>5</v>
      </c>
      <c r="Q10" s="5" t="s">
        <v>12</v>
      </c>
      <c r="R10" s="3"/>
      <c r="S10" s="3"/>
      <c r="T10" s="3"/>
      <c r="U10" s="3"/>
    </row>
    <row r="11" spans="1:21" x14ac:dyDescent="0.35">
      <c r="A11">
        <v>10</v>
      </c>
      <c r="B11" t="s">
        <v>21</v>
      </c>
      <c r="C11">
        <v>2009</v>
      </c>
      <c r="D11">
        <v>5</v>
      </c>
      <c r="E11">
        <v>1</v>
      </c>
      <c r="F11">
        <v>-0.13</v>
      </c>
      <c r="G11">
        <v>-0.28000000000000003</v>
      </c>
      <c r="H11">
        <v>0.02</v>
      </c>
      <c r="I11">
        <f t="shared" si="0"/>
        <v>7.6530612244897975E-2</v>
      </c>
    </row>
    <row r="12" spans="1:21" x14ac:dyDescent="0.35">
      <c r="A12">
        <v>11</v>
      </c>
      <c r="B12" t="s">
        <v>22</v>
      </c>
      <c r="C12">
        <v>2015</v>
      </c>
      <c r="D12">
        <v>5</v>
      </c>
      <c r="E12">
        <v>1</v>
      </c>
      <c r="F12">
        <v>0.1</v>
      </c>
      <c r="G12">
        <v>-0.3</v>
      </c>
      <c r="H12">
        <v>0.5</v>
      </c>
      <c r="I12">
        <f t="shared" si="0"/>
        <v>0.20408163265306123</v>
      </c>
    </row>
    <row r="13" spans="1:21" x14ac:dyDescent="0.35">
      <c r="A13">
        <v>12</v>
      </c>
      <c r="B13" t="s">
        <v>23</v>
      </c>
      <c r="C13">
        <v>2016</v>
      </c>
      <c r="D13">
        <v>5</v>
      </c>
      <c r="E13">
        <v>1</v>
      </c>
      <c r="F13">
        <v>-0.3</v>
      </c>
      <c r="G13">
        <v>-0.4</v>
      </c>
      <c r="H13">
        <v>-0.2</v>
      </c>
      <c r="I13">
        <f t="shared" si="0"/>
        <v>5.1020408163265307E-2</v>
      </c>
    </row>
    <row r="14" spans="1:21" x14ac:dyDescent="0.35">
      <c r="A14">
        <v>13</v>
      </c>
      <c r="B14" t="s">
        <v>24</v>
      </c>
      <c r="C14">
        <v>2010</v>
      </c>
      <c r="D14">
        <v>5</v>
      </c>
      <c r="E14">
        <v>1</v>
      </c>
      <c r="F14">
        <v>0</v>
      </c>
      <c r="G14">
        <v>-0.1</v>
      </c>
      <c r="H14">
        <v>0.1</v>
      </c>
      <c r="I14">
        <f t="shared" si="0"/>
        <v>5.1020408163265307E-2</v>
      </c>
    </row>
    <row r="15" spans="1:21" x14ac:dyDescent="0.35">
      <c r="A15">
        <v>14</v>
      </c>
      <c r="B15" t="s">
        <v>25</v>
      </c>
      <c r="C15">
        <v>2013</v>
      </c>
      <c r="D15">
        <v>5</v>
      </c>
      <c r="E15">
        <v>1</v>
      </c>
      <c r="F15">
        <v>7.0000000000000007E-2</v>
      </c>
      <c r="G15">
        <v>-0.09</v>
      </c>
      <c r="H15">
        <v>0.23</v>
      </c>
      <c r="I15">
        <f t="shared" si="0"/>
        <v>8.1632653061224497E-2</v>
      </c>
    </row>
    <row r="16" spans="1:21" x14ac:dyDescent="0.35">
      <c r="A16">
        <v>15</v>
      </c>
      <c r="B16" t="s">
        <v>26</v>
      </c>
      <c r="C16">
        <v>2017</v>
      </c>
      <c r="D16">
        <v>5</v>
      </c>
      <c r="E16">
        <v>1</v>
      </c>
      <c r="F16">
        <v>-7.0000000000000007E-2</v>
      </c>
      <c r="G16">
        <v>-0.23</v>
      </c>
      <c r="H16">
        <v>0.09</v>
      </c>
      <c r="I16">
        <f t="shared" si="0"/>
        <v>8.1632653061224497E-2</v>
      </c>
    </row>
    <row r="17" spans="1:9" x14ac:dyDescent="0.35">
      <c r="A17">
        <v>16</v>
      </c>
      <c r="B17" t="s">
        <v>27</v>
      </c>
      <c r="C17">
        <v>2015</v>
      </c>
      <c r="D17">
        <v>5</v>
      </c>
      <c r="E17">
        <v>4</v>
      </c>
      <c r="F17">
        <v>-0.11</v>
      </c>
      <c r="G17">
        <v>-0.25</v>
      </c>
      <c r="H17">
        <v>0.03</v>
      </c>
      <c r="I17">
        <f t="shared" si="0"/>
        <v>7.1428571428571438E-2</v>
      </c>
    </row>
    <row r="18" spans="1:9" x14ac:dyDescent="0.35">
      <c r="A18">
        <v>17</v>
      </c>
      <c r="B18" t="s">
        <v>28</v>
      </c>
      <c r="C18">
        <v>2016</v>
      </c>
      <c r="D18">
        <v>5</v>
      </c>
      <c r="E18">
        <v>4</v>
      </c>
      <c r="F18">
        <v>-0.6</v>
      </c>
      <c r="G18">
        <v>-0.72</v>
      </c>
      <c r="H18">
        <v>-0.48</v>
      </c>
      <c r="I18">
        <f t="shared" si="0"/>
        <v>6.1224489795918366E-2</v>
      </c>
    </row>
    <row r="19" spans="1:9" x14ac:dyDescent="0.35">
      <c r="A19">
        <v>18</v>
      </c>
      <c r="B19" t="s">
        <v>29</v>
      </c>
      <c r="C19">
        <v>2011</v>
      </c>
      <c r="D19">
        <v>5</v>
      </c>
      <c r="E19">
        <v>4</v>
      </c>
      <c r="F19">
        <v>-1.04</v>
      </c>
      <c r="G19">
        <v>-1.22</v>
      </c>
      <c r="H19">
        <v>-0.86</v>
      </c>
      <c r="I19">
        <f t="shared" si="0"/>
        <v>9.1836734693877556E-2</v>
      </c>
    </row>
    <row r="20" spans="1:9" x14ac:dyDescent="0.35">
      <c r="A20">
        <v>19</v>
      </c>
      <c r="B20" t="s">
        <v>30</v>
      </c>
      <c r="C20">
        <v>2014</v>
      </c>
      <c r="D20">
        <v>5</v>
      </c>
      <c r="E20">
        <v>4</v>
      </c>
      <c r="F20">
        <v>-0.9</v>
      </c>
      <c r="G20">
        <v>-1.1499999999999999</v>
      </c>
      <c r="H20">
        <v>-0.65</v>
      </c>
      <c r="I20">
        <f t="shared" si="0"/>
        <v>0.12755102040816324</v>
      </c>
    </row>
    <row r="21" spans="1:9" x14ac:dyDescent="0.35">
      <c r="A21">
        <v>20</v>
      </c>
      <c r="B21" t="s">
        <v>31</v>
      </c>
      <c r="C21">
        <v>2014</v>
      </c>
      <c r="D21">
        <v>5</v>
      </c>
      <c r="E21">
        <v>4</v>
      </c>
      <c r="F21">
        <v>0.01</v>
      </c>
      <c r="G21">
        <v>-0.03</v>
      </c>
      <c r="H21">
        <v>0.05</v>
      </c>
      <c r="I21">
        <f t="shared" si="0"/>
        <v>2.0408163265306124E-2</v>
      </c>
    </row>
    <row r="22" spans="1:9" x14ac:dyDescent="0.35">
      <c r="A22">
        <v>21</v>
      </c>
      <c r="B22" t="s">
        <v>32</v>
      </c>
      <c r="C22">
        <v>2014</v>
      </c>
      <c r="D22">
        <v>5</v>
      </c>
      <c r="E22">
        <v>4</v>
      </c>
      <c r="F22">
        <v>-1.4</v>
      </c>
      <c r="G22">
        <v>-2.11</v>
      </c>
      <c r="H22">
        <v>-0.69</v>
      </c>
      <c r="I22">
        <f t="shared" si="0"/>
        <v>0.36224489795918369</v>
      </c>
    </row>
    <row r="23" spans="1:9" x14ac:dyDescent="0.35">
      <c r="A23">
        <v>22</v>
      </c>
      <c r="B23" t="s">
        <v>33</v>
      </c>
      <c r="C23">
        <v>2015</v>
      </c>
      <c r="D23">
        <v>5</v>
      </c>
      <c r="E23">
        <v>4</v>
      </c>
      <c r="F23">
        <v>-0.42</v>
      </c>
      <c r="G23">
        <v>-0.66</v>
      </c>
      <c r="H23">
        <v>-0.18</v>
      </c>
      <c r="I23">
        <f t="shared" si="0"/>
        <v>0.12244897959183675</v>
      </c>
    </row>
    <row r="24" spans="1:9" x14ac:dyDescent="0.35">
      <c r="A24">
        <v>23</v>
      </c>
      <c r="B24" t="s">
        <v>34</v>
      </c>
      <c r="C24">
        <v>2016</v>
      </c>
      <c r="D24">
        <v>5</v>
      </c>
      <c r="E24">
        <v>4</v>
      </c>
      <c r="F24">
        <v>-1.1299999999999999</v>
      </c>
      <c r="G24">
        <v>-1.24</v>
      </c>
      <c r="H24">
        <v>-1.02</v>
      </c>
      <c r="I24">
        <f t="shared" si="0"/>
        <v>5.612244897959183E-2</v>
      </c>
    </row>
    <row r="25" spans="1:9" x14ac:dyDescent="0.35">
      <c r="A25">
        <v>24</v>
      </c>
      <c r="B25" t="s">
        <v>35</v>
      </c>
      <c r="C25">
        <v>2013</v>
      </c>
      <c r="D25">
        <v>5</v>
      </c>
      <c r="E25">
        <v>4</v>
      </c>
      <c r="F25">
        <v>-0.4</v>
      </c>
      <c r="G25">
        <v>-0.6</v>
      </c>
      <c r="H25">
        <v>-0.2</v>
      </c>
      <c r="I25">
        <f t="shared" si="0"/>
        <v>0.1020408163265306</v>
      </c>
    </row>
    <row r="26" spans="1:9" x14ac:dyDescent="0.35">
      <c r="A26">
        <v>25</v>
      </c>
      <c r="B26" t="s">
        <v>36</v>
      </c>
      <c r="C26">
        <v>2013</v>
      </c>
      <c r="D26">
        <v>5</v>
      </c>
      <c r="E26">
        <v>4</v>
      </c>
      <c r="F26">
        <v>-0.4</v>
      </c>
      <c r="G26">
        <v>-0.6</v>
      </c>
      <c r="H26">
        <v>-0.2</v>
      </c>
      <c r="I26">
        <f t="shared" si="0"/>
        <v>0.1020408163265306</v>
      </c>
    </row>
    <row r="27" spans="1:9" x14ac:dyDescent="0.35">
      <c r="A27">
        <v>26</v>
      </c>
      <c r="B27" t="s">
        <v>37</v>
      </c>
      <c r="C27">
        <v>2012</v>
      </c>
      <c r="D27">
        <v>5</v>
      </c>
      <c r="E27">
        <v>4</v>
      </c>
      <c r="F27">
        <v>0.11</v>
      </c>
      <c r="G27">
        <v>-0.15</v>
      </c>
      <c r="H27">
        <v>0.37</v>
      </c>
      <c r="I27">
        <f t="shared" si="0"/>
        <v>0.1326530612244898</v>
      </c>
    </row>
    <row r="28" spans="1:9" x14ac:dyDescent="0.35">
      <c r="A28">
        <v>27</v>
      </c>
      <c r="B28" t="s">
        <v>38</v>
      </c>
      <c r="C28">
        <v>2016</v>
      </c>
      <c r="D28">
        <v>5</v>
      </c>
      <c r="E28">
        <v>4</v>
      </c>
      <c r="F28">
        <v>-0.43</v>
      </c>
      <c r="G28">
        <v>-0.6</v>
      </c>
      <c r="H28">
        <v>-0.26</v>
      </c>
      <c r="I28">
        <f t="shared" si="0"/>
        <v>8.673469387755102E-2</v>
      </c>
    </row>
    <row r="29" spans="1:9" x14ac:dyDescent="0.35">
      <c r="A29">
        <v>28</v>
      </c>
      <c r="B29" t="s">
        <v>39</v>
      </c>
      <c r="C29">
        <v>2017</v>
      </c>
      <c r="D29">
        <v>5</v>
      </c>
      <c r="E29">
        <v>4</v>
      </c>
      <c r="F29">
        <v>-0.67</v>
      </c>
      <c r="G29">
        <v>-0.85</v>
      </c>
      <c r="H29">
        <v>-0.49</v>
      </c>
      <c r="I29">
        <f t="shared" si="0"/>
        <v>9.1836734693877556E-2</v>
      </c>
    </row>
    <row r="30" spans="1:9" x14ac:dyDescent="0.35">
      <c r="A30">
        <v>29</v>
      </c>
      <c r="B30" t="s">
        <v>40</v>
      </c>
      <c r="C30">
        <v>2016</v>
      </c>
      <c r="D30">
        <v>5</v>
      </c>
      <c r="E30">
        <v>2</v>
      </c>
      <c r="F30">
        <v>0.05</v>
      </c>
      <c r="G30">
        <v>-0.12</v>
      </c>
      <c r="H30">
        <v>0.23</v>
      </c>
      <c r="I30">
        <f t="shared" si="0"/>
        <v>8.9285714285714288E-2</v>
      </c>
    </row>
    <row r="31" spans="1:9" x14ac:dyDescent="0.35">
      <c r="A31">
        <v>30</v>
      </c>
      <c r="B31" t="s">
        <v>41</v>
      </c>
      <c r="C31">
        <v>2015</v>
      </c>
      <c r="D31">
        <v>5</v>
      </c>
      <c r="E31">
        <v>2</v>
      </c>
      <c r="F31">
        <v>0.19</v>
      </c>
      <c r="G31">
        <v>0.09</v>
      </c>
      <c r="H31">
        <v>0.28999999999999998</v>
      </c>
      <c r="I31">
        <f t="shared" si="0"/>
        <v>5.10204081632653E-2</v>
      </c>
    </row>
    <row r="32" spans="1:9" x14ac:dyDescent="0.35">
      <c r="A32">
        <v>31</v>
      </c>
      <c r="B32" t="s">
        <v>42</v>
      </c>
      <c r="C32">
        <v>2016</v>
      </c>
      <c r="D32">
        <v>5</v>
      </c>
      <c r="E32">
        <v>2</v>
      </c>
      <c r="F32">
        <v>0.13</v>
      </c>
      <c r="G32">
        <v>-0.03</v>
      </c>
      <c r="H32">
        <v>0.28999999999999998</v>
      </c>
      <c r="I32">
        <f t="shared" si="0"/>
        <v>8.1632653061224483E-2</v>
      </c>
    </row>
    <row r="33" spans="1:9" x14ac:dyDescent="0.35">
      <c r="A33">
        <v>32</v>
      </c>
      <c r="B33" t="s">
        <v>43</v>
      </c>
      <c r="C33">
        <v>2015</v>
      </c>
      <c r="D33">
        <v>5</v>
      </c>
      <c r="E33">
        <v>2</v>
      </c>
      <c r="F33">
        <v>-0.02</v>
      </c>
      <c r="G33">
        <v>-0.05</v>
      </c>
      <c r="H33">
        <v>0.01</v>
      </c>
      <c r="I33">
        <f t="shared" si="0"/>
        <v>1.5306122448979593E-2</v>
      </c>
    </row>
    <row r="34" spans="1:9" x14ac:dyDescent="0.35">
      <c r="A34">
        <v>33</v>
      </c>
      <c r="B34" t="s">
        <v>44</v>
      </c>
      <c r="C34">
        <v>2014</v>
      </c>
      <c r="D34">
        <v>5</v>
      </c>
      <c r="E34">
        <v>2</v>
      </c>
      <c r="F34">
        <v>-0.5</v>
      </c>
      <c r="G34">
        <v>-0.6</v>
      </c>
      <c r="H34">
        <v>-0.4</v>
      </c>
      <c r="I34">
        <f t="shared" ref="I34:I65" si="1">(H34-G34)/(2*1.96)</f>
        <v>5.1020408163265293E-2</v>
      </c>
    </row>
    <row r="35" spans="1:9" x14ac:dyDescent="0.35">
      <c r="A35">
        <v>34</v>
      </c>
      <c r="B35" t="s">
        <v>45</v>
      </c>
      <c r="C35">
        <v>2015</v>
      </c>
      <c r="D35">
        <v>5</v>
      </c>
      <c r="E35">
        <v>2</v>
      </c>
      <c r="F35">
        <v>0</v>
      </c>
      <c r="G35">
        <v>-0.2</v>
      </c>
      <c r="H35">
        <v>0.2</v>
      </c>
      <c r="I35">
        <f t="shared" si="1"/>
        <v>0.10204081632653061</v>
      </c>
    </row>
    <row r="36" spans="1:9" x14ac:dyDescent="0.35">
      <c r="A36">
        <v>35</v>
      </c>
      <c r="B36" t="s">
        <v>46</v>
      </c>
      <c r="C36">
        <v>2009</v>
      </c>
      <c r="D36">
        <v>5</v>
      </c>
      <c r="E36">
        <v>2</v>
      </c>
      <c r="F36">
        <v>0.09</v>
      </c>
      <c r="G36">
        <v>-0.21</v>
      </c>
      <c r="H36">
        <v>0.39</v>
      </c>
      <c r="I36">
        <f t="shared" si="1"/>
        <v>0.15306122448979592</v>
      </c>
    </row>
    <row r="37" spans="1:9" x14ac:dyDescent="0.35">
      <c r="A37">
        <v>36</v>
      </c>
      <c r="B37" t="s">
        <v>47</v>
      </c>
      <c r="C37">
        <v>2012</v>
      </c>
      <c r="D37">
        <v>5</v>
      </c>
      <c r="E37">
        <v>2</v>
      </c>
      <c r="F37">
        <v>-0.39</v>
      </c>
      <c r="G37">
        <v>-0.5</v>
      </c>
      <c r="H37">
        <v>-0.28000000000000003</v>
      </c>
      <c r="I37">
        <f t="shared" si="1"/>
        <v>5.612244897959183E-2</v>
      </c>
    </row>
    <row r="38" spans="1:9" x14ac:dyDescent="0.35">
      <c r="A38">
        <v>37</v>
      </c>
      <c r="B38" t="s">
        <v>48</v>
      </c>
      <c r="C38">
        <v>2017</v>
      </c>
      <c r="D38">
        <v>5</v>
      </c>
      <c r="E38">
        <v>2</v>
      </c>
      <c r="F38">
        <v>0.03</v>
      </c>
      <c r="G38">
        <v>-0.11</v>
      </c>
      <c r="H38">
        <v>0.17</v>
      </c>
      <c r="I38">
        <f t="shared" si="1"/>
        <v>7.1428571428571438E-2</v>
      </c>
    </row>
    <row r="39" spans="1:9" x14ac:dyDescent="0.35">
      <c r="A39">
        <v>38</v>
      </c>
      <c r="B39" t="s">
        <v>49</v>
      </c>
      <c r="C39">
        <v>2006</v>
      </c>
      <c r="D39">
        <v>5</v>
      </c>
      <c r="E39">
        <v>3</v>
      </c>
      <c r="F39">
        <v>-0.1</v>
      </c>
      <c r="G39">
        <v>-0.36</v>
      </c>
      <c r="H39">
        <v>0.16</v>
      </c>
      <c r="I39">
        <f t="shared" si="1"/>
        <v>0.1326530612244898</v>
      </c>
    </row>
    <row r="40" spans="1:9" x14ac:dyDescent="0.35">
      <c r="A40">
        <v>39</v>
      </c>
      <c r="B40" t="s">
        <v>50</v>
      </c>
      <c r="C40">
        <v>1998</v>
      </c>
      <c r="D40">
        <v>5</v>
      </c>
      <c r="E40">
        <v>3</v>
      </c>
      <c r="F40">
        <v>0.09</v>
      </c>
      <c r="G40">
        <v>-0.18</v>
      </c>
      <c r="H40">
        <v>0.36</v>
      </c>
      <c r="I40">
        <f t="shared" si="1"/>
        <v>0.13775510204081634</v>
      </c>
    </row>
    <row r="41" spans="1:9" x14ac:dyDescent="0.35">
      <c r="A41">
        <v>40</v>
      </c>
      <c r="B41" t="s">
        <v>51</v>
      </c>
      <c r="C41">
        <v>2011</v>
      </c>
      <c r="D41">
        <v>5</v>
      </c>
      <c r="E41">
        <v>3</v>
      </c>
      <c r="F41">
        <v>-0.1</v>
      </c>
      <c r="G41">
        <v>-0.34</v>
      </c>
      <c r="H41">
        <v>0.14000000000000001</v>
      </c>
      <c r="I41">
        <f t="shared" si="1"/>
        <v>0.12244897959183675</v>
      </c>
    </row>
    <row r="42" spans="1:9" x14ac:dyDescent="0.35">
      <c r="A42">
        <v>41</v>
      </c>
      <c r="B42" t="s">
        <v>59</v>
      </c>
      <c r="C42">
        <v>2011</v>
      </c>
      <c r="D42">
        <v>5</v>
      </c>
      <c r="E42">
        <v>3</v>
      </c>
      <c r="F42">
        <v>0.65</v>
      </c>
      <c r="G42">
        <v>0.36</v>
      </c>
      <c r="H42">
        <v>0.97</v>
      </c>
      <c r="I42">
        <f t="shared" si="1"/>
        <v>0.15561224489795919</v>
      </c>
    </row>
    <row r="43" spans="1:9" x14ac:dyDescent="0.35">
      <c r="A43">
        <v>42</v>
      </c>
      <c r="B43" t="s">
        <v>60</v>
      </c>
      <c r="C43">
        <v>2006</v>
      </c>
      <c r="D43">
        <v>5</v>
      </c>
      <c r="E43">
        <v>3</v>
      </c>
      <c r="F43">
        <v>0.2</v>
      </c>
      <c r="G43">
        <v>0.01</v>
      </c>
      <c r="H43">
        <v>0.39</v>
      </c>
      <c r="I43">
        <f t="shared" si="1"/>
        <v>9.6938775510204078E-2</v>
      </c>
    </row>
    <row r="44" spans="1:9" x14ac:dyDescent="0.35">
      <c r="A44">
        <v>43</v>
      </c>
      <c r="B44" t="s">
        <v>52</v>
      </c>
      <c r="C44">
        <v>2007</v>
      </c>
      <c r="D44">
        <v>5</v>
      </c>
      <c r="E44">
        <v>3</v>
      </c>
      <c r="F44">
        <v>-0.4</v>
      </c>
      <c r="G44">
        <v>-0.82</v>
      </c>
      <c r="H44">
        <v>0.02</v>
      </c>
      <c r="I44">
        <f t="shared" si="1"/>
        <v>0.21428571428571427</v>
      </c>
    </row>
    <row r="45" spans="1:9" x14ac:dyDescent="0.35">
      <c r="A45">
        <v>44</v>
      </c>
      <c r="B45" t="s">
        <v>53</v>
      </c>
      <c r="C45">
        <v>2005</v>
      </c>
      <c r="D45">
        <v>5</v>
      </c>
      <c r="E45">
        <v>3</v>
      </c>
      <c r="F45">
        <v>-0.13</v>
      </c>
      <c r="G45">
        <v>-0.36</v>
      </c>
      <c r="H45">
        <v>0.1</v>
      </c>
      <c r="I45">
        <f t="shared" si="1"/>
        <v>0.1173469387755102</v>
      </c>
    </row>
    <row r="46" spans="1:9" x14ac:dyDescent="0.35">
      <c r="A46">
        <v>45</v>
      </c>
      <c r="B46" t="s">
        <v>54</v>
      </c>
      <c r="C46">
        <v>2011</v>
      </c>
      <c r="D46">
        <v>5</v>
      </c>
      <c r="E46">
        <v>3</v>
      </c>
      <c r="F46">
        <v>0.3</v>
      </c>
      <c r="G46">
        <v>-0.28999999999999998</v>
      </c>
      <c r="H46">
        <v>0.83</v>
      </c>
      <c r="I46">
        <f t="shared" si="1"/>
        <v>0.2857142857142857</v>
      </c>
    </row>
    <row r="47" spans="1:9" x14ac:dyDescent="0.35">
      <c r="A47">
        <v>46</v>
      </c>
      <c r="B47" t="s">
        <v>55</v>
      </c>
      <c r="C47">
        <v>2001</v>
      </c>
      <c r="D47">
        <v>5</v>
      </c>
      <c r="E47">
        <v>3</v>
      </c>
      <c r="F47">
        <v>0.1</v>
      </c>
      <c r="G47">
        <v>-0.09</v>
      </c>
      <c r="H47">
        <v>0.28999999999999998</v>
      </c>
      <c r="I47">
        <f t="shared" si="1"/>
        <v>9.6938775510204078E-2</v>
      </c>
    </row>
    <row r="48" spans="1:9" x14ac:dyDescent="0.35">
      <c r="A48">
        <v>47</v>
      </c>
      <c r="B48" t="s">
        <v>56</v>
      </c>
      <c r="C48">
        <v>2002</v>
      </c>
      <c r="D48">
        <v>5</v>
      </c>
      <c r="E48">
        <v>3</v>
      </c>
      <c r="F48">
        <v>-1.3</v>
      </c>
      <c r="G48">
        <v>-2.2799999999999998</v>
      </c>
      <c r="H48">
        <v>-0.32</v>
      </c>
      <c r="I48">
        <f t="shared" si="1"/>
        <v>0.49999999999999994</v>
      </c>
    </row>
    <row r="49" spans="1:9" x14ac:dyDescent="0.35">
      <c r="A49">
        <v>48</v>
      </c>
      <c r="B49" t="s">
        <v>57</v>
      </c>
      <c r="C49">
        <v>2011</v>
      </c>
      <c r="D49">
        <v>5</v>
      </c>
      <c r="E49">
        <v>3</v>
      </c>
      <c r="F49">
        <v>-0.6</v>
      </c>
      <c r="G49">
        <v>-1.35</v>
      </c>
      <c r="H49">
        <v>0.15</v>
      </c>
      <c r="I49">
        <f t="shared" si="1"/>
        <v>0.38265306122448978</v>
      </c>
    </row>
    <row r="50" spans="1:9" x14ac:dyDescent="0.35">
      <c r="A50">
        <v>49</v>
      </c>
      <c r="B50" t="s">
        <v>61</v>
      </c>
      <c r="C50">
        <v>2011</v>
      </c>
      <c r="D50">
        <v>5</v>
      </c>
      <c r="E50">
        <v>3</v>
      </c>
      <c r="F50">
        <v>-0.55000000000000004</v>
      </c>
      <c r="G50">
        <v>-0.84</v>
      </c>
      <c r="H50">
        <v>-0.26</v>
      </c>
      <c r="I50">
        <f t="shared" si="1"/>
        <v>0.14795918367346939</v>
      </c>
    </row>
    <row r="51" spans="1:9" x14ac:dyDescent="0.35">
      <c r="A51">
        <v>50</v>
      </c>
      <c r="B51" t="s">
        <v>58</v>
      </c>
      <c r="C51">
        <v>2007</v>
      </c>
      <c r="D51">
        <v>5</v>
      </c>
      <c r="E51">
        <v>3</v>
      </c>
      <c r="F51">
        <v>-1.2</v>
      </c>
      <c r="G51">
        <v>-1.96</v>
      </c>
      <c r="H51">
        <v>-0.44</v>
      </c>
      <c r="I51">
        <f t="shared" si="1"/>
        <v>0.38775510204081631</v>
      </c>
    </row>
  </sheetData>
  <autoFilter ref="A1:I51" xr:uid="{1D59FAF1-AF19-487B-9FB9-447FF016E755}">
    <sortState xmlns:xlrd2="http://schemas.microsoft.com/office/spreadsheetml/2017/richdata2" ref="A2:I51">
      <sortCondition ref="A1:A51"/>
    </sortState>
  </autoFilter>
  <phoneticPr fontId="4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214D3-DD2E-44B2-B1A3-C14A1B280535}"/>
</file>

<file path=customXml/itemProps2.xml><?xml version="1.0" encoding="utf-8"?>
<ds:datastoreItem xmlns:ds="http://schemas.openxmlformats.org/officeDocument/2006/customXml" ds:itemID="{F83CD7D5-D135-470E-B82B-7C367075F9BD}"/>
</file>

<file path=customXml/itemProps3.xml><?xml version="1.0" encoding="utf-8"?>
<ds:datastoreItem xmlns:ds="http://schemas.openxmlformats.org/officeDocument/2006/customXml" ds:itemID="{E66CF827-2EBE-40D0-8A77-4E436D2DBE4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Annabel Davies</cp:lastModifiedBy>
  <dcterms:created xsi:type="dcterms:W3CDTF">2019-12-06T10:38:47Z</dcterms:created>
  <dcterms:modified xsi:type="dcterms:W3CDTF">2024-05-02T09:05:07Z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