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0" yWindow="0" windowWidth="21840" windowHeight="11775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" i="1"/>
  <c r="G5"/>
  <c r="G6"/>
  <c r="G7"/>
  <c r="G8"/>
  <c r="G9"/>
  <c r="G10"/>
  <c r="G11"/>
  <c r="G12"/>
  <c r="G13"/>
  <c r="G14"/>
  <c r="G15"/>
  <c r="G16"/>
  <c r="G17"/>
  <c r="G18"/>
  <c r="G19"/>
  <c r="G20"/>
  <c r="G21"/>
  <c r="G22"/>
  <c r="G3"/>
  <c r="G2"/>
</calcChain>
</file>

<file path=xl/sharedStrings.xml><?xml version="1.0" encoding="utf-8"?>
<sst xmlns="http://schemas.openxmlformats.org/spreadsheetml/2006/main" count="41" uniqueCount="35">
  <si>
    <t>id</t>
  </si>
  <si>
    <t>Study name</t>
  </si>
  <si>
    <t>Treatments</t>
  </si>
  <si>
    <r>
      <t>Outcome</t>
    </r>
    <r>
      <rPr>
        <sz val="11"/>
        <rFont val="Calibri"/>
        <family val="2"/>
        <charset val="161"/>
      </rPr>
      <t xml:space="preserve">: </t>
    </r>
  </si>
  <si>
    <t>Comment:</t>
  </si>
  <si>
    <t>Year</t>
  </si>
  <si>
    <t>Placebo</t>
  </si>
  <si>
    <t>t1</t>
  </si>
  <si>
    <t xml:space="preserve">t2 </t>
  </si>
  <si>
    <t>LCI</t>
  </si>
  <si>
    <t>UCI</t>
  </si>
  <si>
    <t>Harmful</t>
  </si>
  <si>
    <t xml:space="preserve">SMD in allergic rhinitis score </t>
  </si>
  <si>
    <t>Oraliar</t>
  </si>
  <si>
    <t>Grazax</t>
  </si>
  <si>
    <t>SCIT</t>
  </si>
  <si>
    <t>2006a</t>
  </si>
  <si>
    <t>Didier</t>
  </si>
  <si>
    <t>Mosges</t>
  </si>
  <si>
    <t>Horak</t>
  </si>
  <si>
    <t>Halken</t>
  </si>
  <si>
    <t>Dahl</t>
  </si>
  <si>
    <t>Durham</t>
  </si>
  <si>
    <t>Bufe</t>
  </si>
  <si>
    <t>Blaiss</t>
  </si>
  <si>
    <t>Nelson</t>
  </si>
  <si>
    <t>Zenner</t>
  </si>
  <si>
    <t>Frew</t>
  </si>
  <si>
    <t>Drachenberg</t>
  </si>
  <si>
    <t>Dubuske</t>
  </si>
  <si>
    <t>Corrigen</t>
  </si>
  <si>
    <t>Jutel</t>
  </si>
  <si>
    <t>EFFECT=SMD</t>
  </si>
  <si>
    <t>effect</t>
  </si>
  <si>
    <t>se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</si>
</sst>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name val="Arial"/>
      <family val="2"/>
      <charset val="161"/>
    </font>
    <font>
      <sz val="11"/>
      <name val="Calibri"/>
      <family val="2"/>
      <charset val="161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Border="1"/>
    <xf numFmtId="0" fontId="3" fillId="0" borderId="0" xfId="1" applyFont="1" applyFill="1" applyBorder="1"/>
    <xf numFmtId="0" fontId="4" fillId="0" borderId="0" xfId="0" applyFont="1" applyBorder="1"/>
    <xf numFmtId="0" fontId="0" fillId="0" borderId="0" xfId="0" applyBorder="1" applyAlignment="1">
      <alignment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2" fontId="7" fillId="0" borderId="0" xfId="1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0" fillId="0" borderId="0" xfId="0" applyFont="1" applyBorder="1"/>
    <xf numFmtId="0" fontId="7" fillId="0" borderId="0" xfId="1" applyFont="1" applyBorder="1"/>
    <xf numFmtId="0" fontId="7" fillId="2" borderId="2" xfId="1" applyFont="1" applyFill="1" applyBorder="1"/>
    <xf numFmtId="0" fontId="7" fillId="2" borderId="3" xfId="1" applyFont="1" applyFill="1" applyBorder="1" applyAlignment="1">
      <alignment horizontal="left"/>
    </xf>
    <xf numFmtId="0" fontId="7" fillId="2" borderId="0" xfId="1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7" fillId="2" borderId="4" xfId="1" applyFont="1" applyFill="1" applyBorder="1"/>
    <xf numFmtId="0" fontId="7" fillId="2" borderId="0" xfId="1" applyFont="1" applyFill="1" applyBorder="1"/>
    <xf numFmtId="0" fontId="7" fillId="2" borderId="7" xfId="1" applyFont="1" applyFill="1" applyBorder="1"/>
    <xf numFmtId="0" fontId="7" fillId="2" borderId="1" xfId="1" applyFont="1" applyFill="1" applyBorder="1" applyAlignment="1"/>
    <xf numFmtId="0" fontId="9" fillId="2" borderId="4" xfId="1" applyFont="1" applyFill="1" applyBorder="1" applyAlignment="1">
      <alignment wrapText="1"/>
    </xf>
    <xf numFmtId="0" fontId="7" fillId="0" borderId="0" xfId="1" applyFont="1" applyFill="1" applyBorder="1"/>
    <xf numFmtId="0" fontId="0" fillId="0" borderId="0" xfId="0" applyFont="1" applyFill="1" applyBorder="1"/>
    <xf numFmtId="0" fontId="8" fillId="0" borderId="0" xfId="1" applyFont="1" applyFill="1" applyBorder="1"/>
    <xf numFmtId="0" fontId="6" fillId="2" borderId="5" xfId="0" applyFont="1" applyFill="1" applyBorder="1"/>
    <xf numFmtId="0" fontId="6" fillId="2" borderId="5" xfId="0" applyFont="1" applyFill="1" applyBorder="1" applyAlignment="1">
      <alignment vertical="center"/>
    </xf>
    <xf numFmtId="0" fontId="8" fillId="2" borderId="6" xfId="1" applyFont="1" applyFill="1" applyBorder="1"/>
    <xf numFmtId="0" fontId="6" fillId="2" borderId="8" xfId="0" applyFont="1" applyFill="1" applyBorder="1"/>
    <xf numFmtId="2" fontId="6" fillId="0" borderId="0" xfId="0" applyNumberFormat="1" applyFont="1" applyBorder="1"/>
    <xf numFmtId="0" fontId="10" fillId="0" borderId="0" xfId="1" applyFont="1" applyBorder="1" applyAlignment="1">
      <alignment horizontal="center" vertical="center"/>
    </xf>
    <xf numFmtId="0" fontId="10" fillId="0" borderId="0" xfId="1" applyNumberFormat="1" applyFont="1" applyBorder="1" applyAlignment="1">
      <alignment horizontal="center" vertical="center"/>
    </xf>
    <xf numFmtId="2" fontId="10" fillId="0" borderId="0" xfId="1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2" fontId="6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/>
    <xf numFmtId="2" fontId="6" fillId="0" borderId="0" xfId="0" applyNumberFormat="1" applyFont="1" applyFill="1" applyBorder="1" applyAlignment="1">
      <alignment wrapText="1"/>
    </xf>
    <xf numFmtId="0" fontId="3" fillId="0" borderId="0" xfId="1" applyFont="1" applyFill="1" applyBorder="1" applyAlignment="1">
      <alignment horizontal="left"/>
    </xf>
    <xf numFmtId="0" fontId="0" fillId="0" borderId="0" xfId="0" applyFill="1" applyBorder="1"/>
    <xf numFmtId="164" fontId="10" fillId="0" borderId="0" xfId="1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>
      <selection activeCell="G5" sqref="G5"/>
    </sheetView>
  </sheetViews>
  <sheetFormatPr baseColWidth="10" defaultColWidth="8.85546875" defaultRowHeight="15"/>
  <cols>
    <col min="1" max="1" width="10.28515625" style="6" bestFit="1" customWidth="1"/>
    <col min="2" max="2" width="21.42578125" style="6" customWidth="1"/>
    <col min="3" max="4" width="8.85546875" style="6"/>
    <col min="5" max="5" width="8.85546875" style="12"/>
    <col min="6" max="6" width="15.42578125" style="7" customWidth="1"/>
    <col min="7" max="7" width="15.42578125" style="43" customWidth="1"/>
    <col min="8" max="8" width="8.85546875" style="7"/>
    <col min="9" max="9" width="9.140625" style="31" customWidth="1"/>
    <col min="10" max="10" width="9.140625" style="1" customWidth="1"/>
    <col min="11" max="11" width="21.42578125" style="1" customWidth="1"/>
    <col min="12" max="12" width="7.7109375" style="1" customWidth="1"/>
    <col min="13" max="13" width="23.85546875" style="1" customWidth="1"/>
    <col min="14" max="16384" width="8.85546875" style="1"/>
  </cols>
  <sheetData>
    <row r="1" spans="1:14">
      <c r="A1" s="5" t="s">
        <v>5</v>
      </c>
      <c r="B1" s="32" t="s">
        <v>1</v>
      </c>
      <c r="C1" s="32" t="s">
        <v>0</v>
      </c>
      <c r="D1" s="32" t="s">
        <v>7</v>
      </c>
      <c r="E1" s="33" t="s">
        <v>8</v>
      </c>
      <c r="F1" s="34" t="s">
        <v>33</v>
      </c>
      <c r="G1" s="41" t="s">
        <v>34</v>
      </c>
      <c r="H1" s="34" t="s">
        <v>9</v>
      </c>
      <c r="I1" s="34" t="s">
        <v>10</v>
      </c>
      <c r="K1" s="39" t="s">
        <v>11</v>
      </c>
      <c r="L1" s="39"/>
      <c r="M1" s="2" t="s">
        <v>3</v>
      </c>
    </row>
    <row r="2" spans="1:14">
      <c r="A2" s="6">
        <v>2007</v>
      </c>
      <c r="B2" s="10" t="s">
        <v>17</v>
      </c>
      <c r="C2" s="8">
        <v>1</v>
      </c>
      <c r="D2" s="10">
        <v>2</v>
      </c>
      <c r="E2" s="12">
        <v>1</v>
      </c>
      <c r="F2" s="36">
        <v>-0.43</v>
      </c>
      <c r="G2" s="42">
        <f>(I2-H2)/(1.96^2)</f>
        <v>0.11713869221157854</v>
      </c>
      <c r="H2" s="11">
        <v>-0.66</v>
      </c>
      <c r="I2" s="37">
        <v>-0.21</v>
      </c>
      <c r="M2" s="1" t="s">
        <v>12</v>
      </c>
    </row>
    <row r="3" spans="1:14">
      <c r="A3" s="6">
        <v>2007</v>
      </c>
      <c r="B3" s="10" t="s">
        <v>17</v>
      </c>
      <c r="C3" s="8">
        <v>2</v>
      </c>
      <c r="D3" s="10">
        <v>2</v>
      </c>
      <c r="E3" s="12">
        <v>1</v>
      </c>
      <c r="F3" s="36">
        <v>-0.37</v>
      </c>
      <c r="G3" s="42">
        <f>(I3-H3)/(1.96^2)</f>
        <v>0.11713869221157851</v>
      </c>
      <c r="H3" s="11">
        <v>-0.6</v>
      </c>
      <c r="I3" s="37">
        <v>-0.15</v>
      </c>
      <c r="M3" s="3" t="s">
        <v>4</v>
      </c>
    </row>
    <row r="4" spans="1:14" ht="15.75" thickBot="1">
      <c r="A4" s="6">
        <v>2007</v>
      </c>
      <c r="B4" s="6" t="s">
        <v>18</v>
      </c>
      <c r="C4" s="9">
        <v>3</v>
      </c>
      <c r="D4" s="10">
        <v>2</v>
      </c>
      <c r="E4" s="12">
        <v>1</v>
      </c>
      <c r="F4" s="36">
        <v>-0.5</v>
      </c>
      <c r="G4" s="42">
        <f t="shared" ref="G4:G22" si="0">(I4-H4)/(1.96^2)</f>
        <v>0.20564348188254897</v>
      </c>
      <c r="H4" s="11">
        <v>-0.9</v>
      </c>
      <c r="I4" s="37">
        <v>-0.11</v>
      </c>
      <c r="K4" s="13"/>
      <c r="L4" s="13"/>
      <c r="M4" s="14"/>
      <c r="N4" s="13"/>
    </row>
    <row r="5" spans="1:14">
      <c r="A5" s="6">
        <v>2009</v>
      </c>
      <c r="B5" s="10" t="s">
        <v>19</v>
      </c>
      <c r="C5" s="9">
        <v>4</v>
      </c>
      <c r="D5" s="6">
        <v>2</v>
      </c>
      <c r="E5" s="12">
        <v>1</v>
      </c>
      <c r="F5" s="36">
        <v>-0.78</v>
      </c>
      <c r="G5" s="42">
        <f t="shared" si="0"/>
        <v>0.22386505622657227</v>
      </c>
      <c r="H5" s="11">
        <v>-1.21</v>
      </c>
      <c r="I5" s="37">
        <v>-0.35</v>
      </c>
      <c r="K5" s="22" t="s">
        <v>2</v>
      </c>
      <c r="L5" s="15">
        <v>1</v>
      </c>
      <c r="M5" s="16" t="s">
        <v>6</v>
      </c>
      <c r="N5" s="13"/>
    </row>
    <row r="6" spans="1:14" s="4" customFormat="1">
      <c r="A6" s="6">
        <v>2010</v>
      </c>
      <c r="B6" s="35" t="s">
        <v>20</v>
      </c>
      <c r="C6" s="9">
        <v>5</v>
      </c>
      <c r="D6" s="10">
        <v>2</v>
      </c>
      <c r="E6" s="12">
        <v>1</v>
      </c>
      <c r="F6" s="36">
        <v>-0.44</v>
      </c>
      <c r="G6" s="42">
        <f t="shared" si="0"/>
        <v>0.12234485630987091</v>
      </c>
      <c r="H6" s="11">
        <v>-0.67</v>
      </c>
      <c r="I6" s="38">
        <v>-0.2</v>
      </c>
      <c r="K6" s="23"/>
      <c r="L6" s="17">
        <v>2</v>
      </c>
      <c r="M6" s="27" t="s">
        <v>13</v>
      </c>
      <c r="N6" s="18"/>
    </row>
    <row r="7" spans="1:14">
      <c r="A7" s="6">
        <v>2011</v>
      </c>
      <c r="B7" s="10" t="s">
        <v>17</v>
      </c>
      <c r="C7" s="6">
        <v>6</v>
      </c>
      <c r="D7" s="10">
        <v>2</v>
      </c>
      <c r="E7" s="12">
        <v>1</v>
      </c>
      <c r="F7" s="36">
        <v>-0.53</v>
      </c>
      <c r="G7" s="42">
        <f t="shared" si="0"/>
        <v>0.10152019991670137</v>
      </c>
      <c r="H7" s="11">
        <v>-0.72</v>
      </c>
      <c r="I7" s="37">
        <v>-0.33</v>
      </c>
      <c r="K7" s="19"/>
      <c r="L7" s="20">
        <v>3</v>
      </c>
      <c r="M7" s="28" t="s">
        <v>14</v>
      </c>
      <c r="N7" s="13"/>
    </row>
    <row r="8" spans="1:14" ht="15.75" thickBot="1">
      <c r="A8" s="6">
        <v>2011</v>
      </c>
      <c r="B8" s="10" t="s">
        <v>17</v>
      </c>
      <c r="C8" s="6">
        <v>7</v>
      </c>
      <c r="D8" s="10">
        <v>2</v>
      </c>
      <c r="E8" s="12">
        <v>1</v>
      </c>
      <c r="F8" s="36">
        <v>-0.48</v>
      </c>
      <c r="G8" s="42">
        <f t="shared" si="0"/>
        <v>9.8917117867555207E-2</v>
      </c>
      <c r="H8" s="11">
        <v>-0.67</v>
      </c>
      <c r="I8" s="37">
        <v>-0.28999999999999998</v>
      </c>
      <c r="K8" s="29"/>
      <c r="L8" s="21">
        <v>4</v>
      </c>
      <c r="M8" s="30" t="s">
        <v>15</v>
      </c>
      <c r="N8" s="13"/>
    </row>
    <row r="9" spans="1:14" ht="20.25" customHeight="1">
      <c r="A9" s="6">
        <v>2006</v>
      </c>
      <c r="B9" s="10" t="s">
        <v>21</v>
      </c>
      <c r="C9" s="6">
        <v>8</v>
      </c>
      <c r="D9" s="10">
        <v>3</v>
      </c>
      <c r="E9" s="12">
        <v>1</v>
      </c>
      <c r="F9" s="36">
        <v>-0.64</v>
      </c>
      <c r="G9" s="42">
        <f t="shared" si="0"/>
        <v>0.20564348188254897</v>
      </c>
      <c r="H9" s="11">
        <v>-1.03</v>
      </c>
      <c r="I9" s="37">
        <v>-0.24</v>
      </c>
      <c r="K9" s="40" t="s">
        <v>32</v>
      </c>
      <c r="L9" s="24"/>
      <c r="M9" s="26"/>
      <c r="N9" s="13"/>
    </row>
    <row r="10" spans="1:14">
      <c r="A10" s="6">
        <v>2006</v>
      </c>
      <c r="B10" s="10" t="s">
        <v>22</v>
      </c>
      <c r="C10" s="6">
        <v>9</v>
      </c>
      <c r="D10" s="10">
        <v>3</v>
      </c>
      <c r="E10" s="12">
        <v>1</v>
      </c>
      <c r="F10" s="36">
        <v>-0.21</v>
      </c>
      <c r="G10" s="42">
        <f t="shared" si="0"/>
        <v>0.11713869221157852</v>
      </c>
      <c r="H10" s="11">
        <v>-0.44</v>
      </c>
      <c r="I10" s="37">
        <v>0.01</v>
      </c>
      <c r="K10" s="25"/>
      <c r="L10" s="24"/>
      <c r="M10" s="26"/>
      <c r="N10" s="13"/>
    </row>
    <row r="11" spans="1:14">
      <c r="A11" s="6" t="s">
        <v>16</v>
      </c>
      <c r="B11" s="6" t="s">
        <v>21</v>
      </c>
      <c r="C11" s="6">
        <v>10</v>
      </c>
      <c r="D11" s="10">
        <v>3</v>
      </c>
      <c r="E11" s="12">
        <v>1</v>
      </c>
      <c r="F11" s="36">
        <v>-0.52</v>
      </c>
      <c r="G11" s="42">
        <f t="shared" si="0"/>
        <v>8.3298625572678073E-2</v>
      </c>
      <c r="H11" s="11">
        <v>-0.68</v>
      </c>
      <c r="I11" s="37">
        <v>-0.36</v>
      </c>
      <c r="K11" s="25"/>
      <c r="L11" s="24"/>
      <c r="M11" s="25"/>
      <c r="N11" s="13"/>
    </row>
    <row r="12" spans="1:14">
      <c r="A12" s="6">
        <v>2010</v>
      </c>
      <c r="B12" s="6" t="s">
        <v>22</v>
      </c>
      <c r="C12" s="6">
        <v>11</v>
      </c>
      <c r="D12" s="10">
        <v>3</v>
      </c>
      <c r="E12" s="12">
        <v>1</v>
      </c>
      <c r="F12" s="36">
        <v>-0.48</v>
      </c>
      <c r="G12" s="42">
        <f t="shared" si="0"/>
        <v>0.11713869221157851</v>
      </c>
      <c r="H12" s="11">
        <v>-0.71</v>
      </c>
      <c r="I12" s="37">
        <v>-0.26</v>
      </c>
      <c r="K12" s="25"/>
      <c r="L12" s="24"/>
      <c r="M12" s="25"/>
      <c r="N12" s="13"/>
    </row>
    <row r="13" spans="1:14">
      <c r="A13" s="6">
        <v>2009</v>
      </c>
      <c r="B13" s="6" t="s">
        <v>23</v>
      </c>
      <c r="C13" s="6">
        <v>12</v>
      </c>
      <c r="D13" s="10">
        <v>3</v>
      </c>
      <c r="E13" s="12">
        <v>1</v>
      </c>
      <c r="F13" s="36">
        <v>-0.22</v>
      </c>
      <c r="G13" s="42">
        <f t="shared" si="0"/>
        <v>0.13015410245730946</v>
      </c>
      <c r="H13" s="11">
        <v>-0.47</v>
      </c>
      <c r="I13" s="37">
        <v>0.03</v>
      </c>
      <c r="K13" s="25"/>
      <c r="L13" s="24"/>
      <c r="M13" s="25"/>
      <c r="N13" s="13"/>
    </row>
    <row r="14" spans="1:14">
      <c r="A14" s="6">
        <v>2011</v>
      </c>
      <c r="B14" s="6" t="s">
        <v>24</v>
      </c>
      <c r="C14" s="6">
        <v>13</v>
      </c>
      <c r="D14" s="10">
        <v>3</v>
      </c>
      <c r="E14" s="12">
        <v>1</v>
      </c>
      <c r="F14" s="36">
        <v>-0.23</v>
      </c>
      <c r="G14" s="42">
        <f t="shared" si="0"/>
        <v>0.10932944606413994</v>
      </c>
      <c r="H14" s="11">
        <v>-0.44</v>
      </c>
      <c r="I14" s="37">
        <v>-0.02</v>
      </c>
      <c r="K14" s="25"/>
      <c r="L14" s="24"/>
      <c r="M14" s="25"/>
      <c r="N14" s="13"/>
    </row>
    <row r="15" spans="1:14">
      <c r="A15" s="6">
        <v>2011</v>
      </c>
      <c r="B15" s="6" t="s">
        <v>25</v>
      </c>
      <c r="C15" s="6">
        <v>14</v>
      </c>
      <c r="D15" s="10">
        <v>3</v>
      </c>
      <c r="E15" s="12">
        <v>1</v>
      </c>
      <c r="F15" s="36">
        <v>-0.19</v>
      </c>
      <c r="G15" s="42">
        <f t="shared" si="0"/>
        <v>9.6314035818409E-2</v>
      </c>
      <c r="H15" s="11">
        <v>-0.38</v>
      </c>
      <c r="I15" s="37">
        <v>-0.01</v>
      </c>
      <c r="K15" s="25"/>
      <c r="L15" s="24"/>
      <c r="M15" s="25"/>
      <c r="N15" s="13"/>
    </row>
    <row r="16" spans="1:14">
      <c r="A16" s="6">
        <v>1997</v>
      </c>
      <c r="B16" s="6" t="s">
        <v>26</v>
      </c>
      <c r="C16" s="6">
        <v>15</v>
      </c>
      <c r="D16" s="6">
        <v>4</v>
      </c>
      <c r="E16" s="12">
        <v>1</v>
      </c>
      <c r="F16" s="36">
        <v>-0.45</v>
      </c>
      <c r="G16" s="42">
        <f t="shared" si="0"/>
        <v>0.22386505622657227</v>
      </c>
      <c r="H16" s="11">
        <v>-0.88</v>
      </c>
      <c r="I16" s="37">
        <v>-0.02</v>
      </c>
      <c r="K16" s="25"/>
      <c r="L16" s="24"/>
      <c r="M16" s="25"/>
      <c r="N16" s="13"/>
    </row>
    <row r="17" spans="1:14">
      <c r="A17" s="6">
        <v>2006</v>
      </c>
      <c r="B17" s="6" t="s">
        <v>27</v>
      </c>
      <c r="C17" s="6">
        <v>16</v>
      </c>
      <c r="D17" s="6">
        <v>4</v>
      </c>
      <c r="E17" s="12">
        <v>1</v>
      </c>
      <c r="F17" s="36">
        <v>-0.3</v>
      </c>
      <c r="G17" s="42">
        <f t="shared" si="0"/>
        <v>0.1431695127030404</v>
      </c>
      <c r="H17" s="11">
        <v>-0.56999999999999995</v>
      </c>
      <c r="I17" s="37">
        <v>-0.02</v>
      </c>
      <c r="K17" s="25"/>
      <c r="L17" s="25"/>
      <c r="M17" s="25"/>
      <c r="N17" s="13"/>
    </row>
    <row r="18" spans="1:14">
      <c r="A18" s="6">
        <v>2006</v>
      </c>
      <c r="B18" s="6" t="s">
        <v>27</v>
      </c>
      <c r="C18" s="6">
        <v>17</v>
      </c>
      <c r="D18" s="6">
        <v>4</v>
      </c>
      <c r="E18" s="12">
        <v>1</v>
      </c>
      <c r="F18" s="36">
        <v>-0.36</v>
      </c>
      <c r="G18" s="42">
        <f t="shared" si="0"/>
        <v>0.12234485630987089</v>
      </c>
      <c r="H18" s="11">
        <v>-0.6</v>
      </c>
      <c r="I18" s="37">
        <v>-0.13</v>
      </c>
    </row>
    <row r="19" spans="1:14">
      <c r="A19" s="6">
        <v>2001</v>
      </c>
      <c r="B19" s="6" t="s">
        <v>28</v>
      </c>
      <c r="C19" s="6">
        <v>18</v>
      </c>
      <c r="D19" s="6">
        <v>4</v>
      </c>
      <c r="E19" s="12">
        <v>1</v>
      </c>
      <c r="F19" s="36">
        <v>-0.47</v>
      </c>
      <c r="G19" s="42">
        <f t="shared" si="0"/>
        <v>0.16139108704706373</v>
      </c>
      <c r="H19" s="11">
        <v>-0.78</v>
      </c>
      <c r="I19" s="37">
        <v>-0.16</v>
      </c>
    </row>
    <row r="20" spans="1:14">
      <c r="A20" s="6">
        <v>2011</v>
      </c>
      <c r="B20" s="6" t="s">
        <v>29</v>
      </c>
      <c r="C20" s="6">
        <v>19</v>
      </c>
      <c r="D20" s="6">
        <v>4</v>
      </c>
      <c r="E20" s="12">
        <v>1</v>
      </c>
      <c r="F20" s="36">
        <v>-0.19</v>
      </c>
      <c r="G20" s="42">
        <f t="shared" si="0"/>
        <v>6.2473969179508544E-2</v>
      </c>
      <c r="H20" s="11">
        <v>-0.31</v>
      </c>
      <c r="I20" s="37">
        <v>-7.0000000000000007E-2</v>
      </c>
    </row>
    <row r="21" spans="1:14">
      <c r="A21" s="6">
        <v>2005</v>
      </c>
      <c r="B21" s="6" t="s">
        <v>30</v>
      </c>
      <c r="C21" s="6">
        <v>20</v>
      </c>
      <c r="D21" s="6">
        <v>4</v>
      </c>
      <c r="E21" s="12">
        <v>1</v>
      </c>
      <c r="F21" s="7">
        <v>-0.41</v>
      </c>
      <c r="G21" s="42">
        <f t="shared" si="0"/>
        <v>0.16659725114535612</v>
      </c>
      <c r="H21" s="7">
        <v>-0.73</v>
      </c>
      <c r="I21" s="31">
        <v>-0.09</v>
      </c>
    </row>
    <row r="22" spans="1:14">
      <c r="A22" s="6">
        <v>2005</v>
      </c>
      <c r="B22" s="6" t="s">
        <v>31</v>
      </c>
      <c r="C22" s="6">
        <v>21</v>
      </c>
      <c r="D22" s="6">
        <v>4</v>
      </c>
      <c r="E22" s="12">
        <v>1</v>
      </c>
      <c r="F22" s="7">
        <v>-0.56000000000000005</v>
      </c>
      <c r="G22" s="42">
        <f t="shared" si="0"/>
        <v>0.27592669720949609</v>
      </c>
      <c r="H22" s="11">
        <v>-1.0900000000000001</v>
      </c>
      <c r="I22" s="31">
        <v>-0.03</v>
      </c>
    </row>
    <row r="23" spans="1:14">
      <c r="H23" s="11"/>
    </row>
    <row r="24" spans="1:14">
      <c r="H24" s="11"/>
    </row>
  </sheetData>
  <mergeCells count="1">
    <mergeCell ref="K1:L1"/>
  </mergeCells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47571A-9804-4E6D-9625-14ACE508F5A1}"/>
</file>

<file path=customXml/itemProps2.xml><?xml version="1.0" encoding="utf-8"?>
<ds:datastoreItem xmlns:ds="http://schemas.openxmlformats.org/officeDocument/2006/customXml" ds:itemID="{096D0627-60E9-4CCF-86CC-AD71F80ED05C}"/>
</file>

<file path=customXml/itemProps3.xml><?xml version="1.0" encoding="utf-8"?>
<ds:datastoreItem xmlns:ds="http://schemas.openxmlformats.org/officeDocument/2006/customXml" ds:itemID="{E1459453-114D-455F-A3C3-344C17947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2012-05-14T06:28:20Z</dcterms:created>
  <dcterms:modified xsi:type="dcterms:W3CDTF">2018-02-28T15:30:15Z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