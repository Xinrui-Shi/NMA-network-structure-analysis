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TP</author>
  </authors>
  <commentList>
    <comment ref="G1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SMS:
</t>
        </r>
        <r>
          <rPr>
            <sz val="9"/>
            <color rgb="FF000000"/>
            <rFont val="Calibri"/>
            <family val="2"/>
            <charset val="1"/>
          </rPr>
          <t xml:space="preserve">Need ln HR</t>
        </r>
      </text>
    </comment>
  </commentList>
</comments>
</file>

<file path=xl/sharedStrings.xml><?xml version="1.0" encoding="utf-8"?>
<sst xmlns="http://schemas.openxmlformats.org/spreadsheetml/2006/main" count="44" uniqueCount="40">
  <si>
    <t xml:space="preserve">study year</t>
  </si>
  <si>
    <t xml:space="preserve">study name</t>
  </si>
  <si>
    <t xml:space="preserve">Study id</t>
  </si>
  <si>
    <t xml:space="preserve">id</t>
  </si>
  <si>
    <t xml:space="preserve">t1</t>
  </si>
  <si>
    <t xml:space="preserve">t2</t>
  </si>
  <si>
    <r>
      <rPr>
        <b val="true"/>
        <sz val="11"/>
        <color rgb="FF000000"/>
        <rFont val="Calibri"/>
        <family val="2"/>
        <charset val="161"/>
      </rPr>
      <t xml:space="preserve">HR </t>
    </r>
    <r>
      <rPr>
        <b val="true"/>
        <sz val="11"/>
        <color rgb="FFFF0000"/>
        <rFont val="Calibri"/>
        <family val="2"/>
        <charset val="1"/>
      </rPr>
      <t xml:space="preserve">(t1vs. T2)</t>
    </r>
  </si>
  <si>
    <t xml:space="preserve">CILhr</t>
  </si>
  <si>
    <t xml:space="preserve">CIHhr</t>
  </si>
  <si>
    <t xml:space="preserve">effect</t>
  </si>
  <si>
    <t xml:space="preserve">CIL</t>
  </si>
  <si>
    <t xml:space="preserve">CIH</t>
  </si>
  <si>
    <t xml:space="preserve">se</t>
  </si>
  <si>
    <t xml:space="preserve">Benefit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</si>
  <si>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overall survival</t>
    </r>
  </si>
  <si>
    <t xml:space="preserve">Scagliotti 2002</t>
  </si>
  <si>
    <t xml:space="preserve">Treatments</t>
  </si>
  <si>
    <t xml:space="preserve">VNB+PLAT </t>
  </si>
  <si>
    <t xml:space="preserve">GEM+PLAT </t>
  </si>
  <si>
    <t xml:space="preserve">PAX+PLAT </t>
  </si>
  <si>
    <t xml:space="preserve">Gridelli 2003</t>
  </si>
  <si>
    <t xml:space="preserve">DOC+PLAT </t>
  </si>
  <si>
    <t xml:space="preserve">Gebbia 2003</t>
  </si>
  <si>
    <t xml:space="preserve">Martoni 2005</t>
  </si>
  <si>
    <t xml:space="preserve">Thomas 2006</t>
  </si>
  <si>
    <t xml:space="preserve">Helbekkmo 2007</t>
  </si>
  <si>
    <t xml:space="preserve">Ohe 2007</t>
  </si>
  <si>
    <t xml:space="preserve">y=log(HR)</t>
  </si>
  <si>
    <t xml:space="preserve">Chang 2008</t>
  </si>
  <si>
    <t xml:space="preserve">τα υπολογισαμε επιπλέον. Δεν είναι το αποτελεσμα της εφαρμογής του λογαριθμου. Όταν χρησιμοποιήσαμε αυτό το εβγαζε λάθος η R</t>
  </si>
  <si>
    <t xml:space="preserve">Schiller 2002</t>
  </si>
  <si>
    <t xml:space="preserve">Smit 2003</t>
  </si>
  <si>
    <t xml:space="preserve">Langer 2007</t>
  </si>
  <si>
    <t xml:space="preserve">Treat 2010</t>
  </si>
  <si>
    <t xml:space="preserve">Kelly 2001</t>
  </si>
  <si>
    <t xml:space="preserve">Chen 2004</t>
  </si>
  <si>
    <t xml:space="preserve">Fosella 2003</t>
  </si>
  <si>
    <t xml:space="preserve"> Douillard 2005</t>
  </si>
  <si>
    <t xml:space="preserve">chen 2007</t>
  </si>
  <si>
    <t xml:space="preserve">Tan 2009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</si>
</sst>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3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9"/>
      <color rgb="FF000000"/>
      <name val="Frutiger"/>
      <family val="0"/>
      <charset val="1"/>
    </font>
    <font>
      <sz val="11"/>
      <color rgb="FFFF0000"/>
      <name val="Calibri"/>
      <family val="2"/>
      <charset val="161"/>
    </font>
    <font>
      <sz val="9"/>
      <color rgb="FFFF0000"/>
      <name val="Frutiger"/>
      <family val="0"/>
      <charset val="1"/>
    </font>
    <font>
      <sz val="11"/>
      <color rgb="FF9C6500"/>
      <name val="Calibri"/>
      <family val="2"/>
      <charset val="161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B9CDE5"/>
        <bgColor rgb="FFC0C0C0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eutral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1" width="18.29"/>
    <col collapsed="false" customWidth="true" hidden="true" outlineLevel="0" max="3" min="3" style="1" width="8.29"/>
    <col collapsed="false" customWidth="true" hidden="false" outlineLevel="0" max="4" min="4" style="2" width="8.71"/>
    <col collapsed="false" customWidth="true" hidden="false" outlineLevel="0" max="6" min="5" style="1" width="11.71"/>
    <col collapsed="false" customWidth="true" hidden="false" outlineLevel="0" max="7" min="7" style="3" width="13.43"/>
    <col collapsed="false" customWidth="false" hidden="false" outlineLevel="0" max="9" min="8" style="4" width="11.42"/>
    <col collapsed="false" customWidth="true" hidden="false" outlineLevel="0" max="10" min="10" style="0" width="8.86"/>
    <col collapsed="false" customWidth="true" hidden="false" outlineLevel="0" max="11" min="11" style="4" width="7.29"/>
    <col collapsed="false" customWidth="true" hidden="false" outlineLevel="0" max="12" min="12" style="4" width="7.42"/>
    <col collapsed="false" customWidth="true" hidden="false" outlineLevel="0" max="13" min="13" style="0" width="11.14"/>
    <col collapsed="false" customWidth="true" hidden="false" outlineLevel="0" max="14" min="14" style="4" width="7.42"/>
    <col collapsed="false" customWidth="true" hidden="false" outlineLevel="0" max="15" min="15" style="0" width="10"/>
    <col collapsed="false" customWidth="true" hidden="false" outlineLevel="0" max="16" min="16" style="0" width="8.86"/>
    <col collapsed="false" customWidth="false" hidden="false" outlineLevel="0" max="17" min="17" style="0" width="11.42"/>
    <col collapsed="false" customWidth="true" hidden="false" outlineLevel="0" max="18" min="18" style="0" width="8.86"/>
    <col collapsed="false" customWidth="true" hidden="false" outlineLevel="0" max="19" min="19" style="0" width="20.42"/>
    <col collapsed="false" customWidth="true" hidden="false" outlineLevel="0" max="1025" min="20" style="0" width="8.86"/>
  </cols>
  <sheetData>
    <row r="1" s="9" customFormat="true" ht="15.7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8" t="s">
        <v>7</v>
      </c>
      <c r="I1" s="8" t="s">
        <v>8</v>
      </c>
      <c r="K1" s="8" t="s">
        <v>9</v>
      </c>
      <c r="L1" s="8" t="s">
        <v>10</v>
      </c>
      <c r="M1" s="9" t="s">
        <v>11</v>
      </c>
      <c r="N1" s="8" t="s">
        <v>12</v>
      </c>
      <c r="O1" s="9" t="s">
        <v>13</v>
      </c>
      <c r="P1" s="9" t="s">
        <v>14</v>
      </c>
    </row>
    <row r="2" customFormat="false" ht="15" hidden="false" customHeight="false" outlineLevel="0" collapsed="false">
      <c r="A2" s="0" t="n">
        <v>2002</v>
      </c>
      <c r="B2" s="10" t="s">
        <v>15</v>
      </c>
      <c r="D2" s="2" t="n">
        <v>1</v>
      </c>
      <c r="E2" s="1" t="n">
        <v>1</v>
      </c>
      <c r="F2" s="1" t="n">
        <v>2</v>
      </c>
      <c r="G2" s="10" t="n">
        <v>1.15</v>
      </c>
      <c r="H2" s="11" t="n">
        <v>0.91</v>
      </c>
      <c r="I2" s="11" t="n">
        <v>1.44</v>
      </c>
      <c r="K2" s="4" t="n">
        <f aca="false">LN(G2)</f>
        <v>0.139761942375159</v>
      </c>
      <c r="L2" s="4" t="n">
        <f aca="false">LN(H2)</f>
        <v>-0.0943106794712413</v>
      </c>
      <c r="M2" s="4" t="n">
        <f aca="false">LN(I2)</f>
        <v>0.364643113587909</v>
      </c>
      <c r="N2" s="4" t="n">
        <f aca="false">(M2-L2)/(2*1.96)</f>
        <v>0.117080049249783</v>
      </c>
      <c r="Q2" s="12" t="s">
        <v>16</v>
      </c>
      <c r="R2" s="13" t="n">
        <v>1</v>
      </c>
      <c r="S2" s="14" t="s">
        <v>17</v>
      </c>
    </row>
    <row r="3" customFormat="false" ht="15" hidden="false" customHeight="false" outlineLevel="0" collapsed="false">
      <c r="A3" s="0" t="n">
        <v>2002</v>
      </c>
      <c r="B3" s="10" t="s">
        <v>15</v>
      </c>
      <c r="D3" s="2" t="n">
        <v>1</v>
      </c>
      <c r="E3" s="1" t="n">
        <v>3</v>
      </c>
      <c r="F3" s="1" t="n">
        <v>2</v>
      </c>
      <c r="G3" s="10" t="n">
        <v>0.96</v>
      </c>
      <c r="H3" s="11" t="n">
        <v>0.77</v>
      </c>
      <c r="I3" s="11" t="n">
        <v>1.21</v>
      </c>
      <c r="K3" s="4" t="n">
        <f aca="false">LN(G3)</f>
        <v>-0.0408219945202552</v>
      </c>
      <c r="L3" s="4" t="n">
        <f aca="false">LN(H3)</f>
        <v>-0.261364764134407</v>
      </c>
      <c r="M3" s="4" t="n">
        <f aca="false">LN(I3)</f>
        <v>0.19062035960865</v>
      </c>
      <c r="N3" s="4" t="n">
        <f aca="false">(M3-L3)/(2*1.96)</f>
        <v>0.115302327485474</v>
      </c>
      <c r="P3" s="9"/>
      <c r="Q3" s="15"/>
      <c r="R3" s="16" t="n">
        <v>2</v>
      </c>
      <c r="S3" s="17" t="s">
        <v>18</v>
      </c>
    </row>
    <row r="4" customFormat="false" ht="15" hidden="false" customHeight="false" outlineLevel="0" collapsed="false">
      <c r="A4" s="0" t="n">
        <v>2002</v>
      </c>
      <c r="B4" s="10" t="s">
        <v>15</v>
      </c>
      <c r="D4" s="2" t="n">
        <v>1</v>
      </c>
      <c r="E4" s="18" t="n">
        <v>3</v>
      </c>
      <c r="F4" s="18" t="n">
        <v>1</v>
      </c>
      <c r="G4" s="19" t="n">
        <v>0.84</v>
      </c>
      <c r="H4" s="20" t="n">
        <v>0.54</v>
      </c>
      <c r="I4" s="20" t="n">
        <v>1.3</v>
      </c>
      <c r="K4" s="21" t="n">
        <f aca="false">K3-K2</f>
        <v>-0.180583936895414</v>
      </c>
      <c r="L4" s="21"/>
      <c r="M4" s="21"/>
      <c r="N4" s="21" t="n">
        <f aca="false">SQRT(N2^2+N3^2)</f>
        <v>0.164323962512773</v>
      </c>
      <c r="P4" s="9"/>
      <c r="Q4" s="15"/>
      <c r="R4" s="22" t="n">
        <v>3</v>
      </c>
      <c r="S4" s="17" t="s">
        <v>19</v>
      </c>
    </row>
    <row r="5" customFormat="false" ht="15.75" hidden="false" customHeight="false" outlineLevel="0" collapsed="false">
      <c r="A5" s="0" t="n">
        <v>2003</v>
      </c>
      <c r="B5" s="10" t="s">
        <v>20</v>
      </c>
      <c r="D5" s="2" t="n">
        <v>2</v>
      </c>
      <c r="E5" s="1" t="n">
        <v>1</v>
      </c>
      <c r="F5" s="1" t="n">
        <v>2</v>
      </c>
      <c r="G5" s="10" t="n">
        <v>0.98</v>
      </c>
      <c r="H5" s="11" t="n">
        <v>0.73</v>
      </c>
      <c r="I5" s="11" t="n">
        <v>1.31</v>
      </c>
      <c r="K5" s="4" t="n">
        <f aca="false">LN(G5)</f>
        <v>-0.0202027073175195</v>
      </c>
      <c r="L5" s="4" t="n">
        <f aca="false">LN(H5)</f>
        <v>-0.3147107448397</v>
      </c>
      <c r="M5" s="4" t="n">
        <f aca="false">LN(I5)</f>
        <v>0.27002713721306</v>
      </c>
      <c r="N5" s="4" t="n">
        <f aca="false">(M5-L5)/(2*1.96)</f>
        <v>0.149167827054276</v>
      </c>
      <c r="Q5" s="23"/>
      <c r="R5" s="24" t="n">
        <v>4</v>
      </c>
      <c r="S5" s="25" t="s">
        <v>21</v>
      </c>
    </row>
    <row r="6" customFormat="false" ht="15" hidden="false" customHeight="false" outlineLevel="0" collapsed="false">
      <c r="A6" s="0" t="n">
        <v>2003</v>
      </c>
      <c r="B6" s="10" t="s">
        <v>22</v>
      </c>
      <c r="D6" s="2" t="n">
        <v>3</v>
      </c>
      <c r="E6" s="1" t="n">
        <v>1</v>
      </c>
      <c r="F6" s="1" t="n">
        <v>2</v>
      </c>
      <c r="G6" s="10" t="n">
        <v>1.17</v>
      </c>
      <c r="H6" s="11" t="n">
        <v>0.93</v>
      </c>
      <c r="I6" s="11" t="n">
        <v>1.48</v>
      </c>
      <c r="K6" s="4" t="n">
        <f aca="false">LN(G6)</f>
        <v>0.157003748809665</v>
      </c>
      <c r="L6" s="4" t="n">
        <f aca="false">LN(H6)</f>
        <v>-0.0725706928348354</v>
      </c>
      <c r="M6" s="4" t="n">
        <f aca="false">LN(I6)</f>
        <v>0.392042087776024</v>
      </c>
      <c r="N6" s="4" t="n">
        <f aca="false">(M6-L6)/(2*1.96)</f>
        <v>0.118523668523178</v>
      </c>
    </row>
    <row r="7" customFormat="false" ht="15" hidden="false" customHeight="false" outlineLevel="0" collapsed="false">
      <c r="A7" s="0" t="n">
        <v>2005</v>
      </c>
      <c r="B7" s="10" t="s">
        <v>23</v>
      </c>
      <c r="D7" s="2" t="n">
        <v>4</v>
      </c>
      <c r="E7" s="1" t="n">
        <v>1</v>
      </c>
      <c r="F7" s="1" t="n">
        <v>2</v>
      </c>
      <c r="G7" s="10" t="n">
        <v>1.04</v>
      </c>
      <c r="H7" s="11" t="n">
        <v>0.8</v>
      </c>
      <c r="I7" s="11" t="n">
        <v>1.35</v>
      </c>
      <c r="K7" s="4" t="n">
        <f aca="false">LN(G7)</f>
        <v>0.0392207131532813</v>
      </c>
      <c r="L7" s="4" t="n">
        <f aca="false">LN(H7)</f>
        <v>-0.22314355131421</v>
      </c>
      <c r="M7" s="4" t="n">
        <f aca="false">LN(I7)</f>
        <v>0.300104592450338</v>
      </c>
      <c r="N7" s="4" t="n">
        <f aca="false">(M7-L7)/(2*1.96)</f>
        <v>0.133481669327691</v>
      </c>
    </row>
    <row r="8" customFormat="false" ht="15" hidden="false" customHeight="false" outlineLevel="0" collapsed="false">
      <c r="A8" s="0" t="n">
        <v>2006</v>
      </c>
      <c r="B8" s="10" t="s">
        <v>24</v>
      </c>
      <c r="D8" s="2" t="n">
        <v>5</v>
      </c>
      <c r="E8" s="1" t="n">
        <v>1</v>
      </c>
      <c r="F8" s="1" t="n">
        <v>2</v>
      </c>
      <c r="G8" s="10" t="n">
        <v>1.05</v>
      </c>
      <c r="H8" s="11" t="n">
        <v>0.67</v>
      </c>
      <c r="I8" s="11" t="n">
        <v>1.66</v>
      </c>
      <c r="K8" s="4" t="n">
        <f aca="false">LN(G8)</f>
        <v>0.048790164169432</v>
      </c>
      <c r="L8" s="4" t="n">
        <f aca="false">LN(H8)</f>
        <v>-0.400477566597125</v>
      </c>
      <c r="M8" s="4" t="n">
        <f aca="false">LN(I8)</f>
        <v>0.506817602368452</v>
      </c>
      <c r="N8" s="4" t="n">
        <f aca="false">(M8-L8)/(2*1.96)</f>
        <v>0.231452849225913</v>
      </c>
      <c r="O8" s="26"/>
    </row>
    <row r="9" customFormat="false" ht="15" hidden="false" customHeight="false" outlineLevel="0" collapsed="false">
      <c r="A9" s="0" t="n">
        <v>2007</v>
      </c>
      <c r="B9" s="10" t="s">
        <v>25</v>
      </c>
      <c r="D9" s="2" t="n">
        <v>6</v>
      </c>
      <c r="E9" s="1" t="n">
        <v>1</v>
      </c>
      <c r="F9" s="1" t="n">
        <v>2</v>
      </c>
      <c r="G9" s="10" t="n">
        <v>1.02</v>
      </c>
      <c r="H9" s="11" t="n">
        <v>0.82</v>
      </c>
      <c r="I9" s="11" t="n">
        <v>1.26</v>
      </c>
      <c r="K9" s="4" t="n">
        <f aca="false">LN(G9)</f>
        <v>0.0198026272961797</v>
      </c>
      <c r="L9" s="4" t="n">
        <f aca="false">LN(H9)</f>
        <v>-0.198450938723838</v>
      </c>
      <c r="M9" s="4" t="n">
        <f aca="false">LN(I9)</f>
        <v>0.231111720963387</v>
      </c>
      <c r="N9" s="4" t="n">
        <f aca="false">(M9-L9)/(2*1.96)</f>
        <v>0.1095823111447</v>
      </c>
    </row>
    <row r="10" customFormat="false" ht="15" hidden="false" customHeight="false" outlineLevel="0" collapsed="false">
      <c r="A10" s="0" t="n">
        <v>2007</v>
      </c>
      <c r="B10" s="10" t="s">
        <v>26</v>
      </c>
      <c r="D10" s="2" t="n">
        <v>7</v>
      </c>
      <c r="E10" s="1" t="n">
        <v>1</v>
      </c>
      <c r="F10" s="1" t="n">
        <v>2</v>
      </c>
      <c r="G10" s="10" t="n">
        <v>1.18</v>
      </c>
      <c r="H10" s="11" t="n">
        <v>0.81</v>
      </c>
      <c r="I10" s="11" t="n">
        <v>1.73</v>
      </c>
      <c r="K10" s="4" t="n">
        <f aca="false">LN(G10)</f>
        <v>0.165514438477573</v>
      </c>
      <c r="L10" s="4" t="n">
        <f aca="false">LN(H10)</f>
        <v>-0.210721031315653</v>
      </c>
      <c r="M10" s="4" t="n">
        <f aca="false">LN(I10)</f>
        <v>0.548121408509688</v>
      </c>
      <c r="N10" s="4" t="n">
        <f aca="false">(M10-L10)/(2*1.96)</f>
        <v>0.193582255057485</v>
      </c>
    </row>
    <row r="11" customFormat="false" ht="15" hidden="false" customHeight="false" outlineLevel="0" collapsed="false">
      <c r="A11" s="27" t="n">
        <v>2007</v>
      </c>
      <c r="B11" s="19" t="s">
        <v>26</v>
      </c>
      <c r="C11" s="18"/>
      <c r="D11" s="18" t="n">
        <v>7</v>
      </c>
      <c r="E11" s="18" t="n">
        <v>3</v>
      </c>
      <c r="F11" s="18" t="n">
        <v>2</v>
      </c>
      <c r="G11" s="19" t="n">
        <v>1.12</v>
      </c>
      <c r="H11" s="20" t="n">
        <v>0.75</v>
      </c>
      <c r="I11" s="20" t="n">
        <v>1.66</v>
      </c>
      <c r="K11" s="4" t="n">
        <f aca="false">LN(G11)</f>
        <v>0.113328685307003</v>
      </c>
      <c r="L11" s="4" t="n">
        <f aca="false">LN(H11)</f>
        <v>-0.287682072451781</v>
      </c>
      <c r="M11" s="4" t="n">
        <f aca="false">LN(I11)</f>
        <v>0.506817602368452</v>
      </c>
      <c r="N11" s="4" t="n">
        <f aca="false">(M11-L11)/(2*1.96)</f>
        <v>0.202678488474549</v>
      </c>
    </row>
    <row r="12" customFormat="false" ht="15" hidden="false" customHeight="false" outlineLevel="0" collapsed="false">
      <c r="A12" s="27" t="n">
        <v>2007</v>
      </c>
      <c r="B12" s="19" t="s">
        <v>26</v>
      </c>
      <c r="C12" s="18"/>
      <c r="D12" s="18" t="n">
        <v>7</v>
      </c>
      <c r="E12" s="18" t="n">
        <v>3</v>
      </c>
      <c r="F12" s="18" t="n">
        <v>1</v>
      </c>
      <c r="G12" s="19" t="n">
        <v>0.94</v>
      </c>
      <c r="H12" s="20" t="n">
        <v>0.45</v>
      </c>
      <c r="I12" s="20" t="n">
        <v>1.99</v>
      </c>
      <c r="K12" s="21" t="n">
        <f aca="false">K11-K10</f>
        <v>-0.0521857531705701</v>
      </c>
      <c r="L12" s="21"/>
      <c r="M12" s="21"/>
      <c r="N12" s="21" t="n">
        <f aca="false">SQRT(N10^2+N11^2)</f>
        <v>0.280272473074808</v>
      </c>
      <c r="O12" s="28"/>
      <c r="Q12" s="0" t="s">
        <v>27</v>
      </c>
    </row>
    <row r="13" customFormat="false" ht="15" hidden="false" customHeight="false" outlineLevel="0" collapsed="false">
      <c r="A13" s="0" t="n">
        <v>2008</v>
      </c>
      <c r="B13" s="10" t="s">
        <v>28</v>
      </c>
      <c r="D13" s="2" t="n">
        <v>8</v>
      </c>
      <c r="E13" s="1" t="n">
        <v>1</v>
      </c>
      <c r="F13" s="1" t="n">
        <v>2</v>
      </c>
      <c r="G13" s="10" t="n">
        <v>1.08</v>
      </c>
      <c r="H13" s="11" t="n">
        <v>0.46</v>
      </c>
      <c r="I13" s="11" t="n">
        <v>2.5</v>
      </c>
      <c r="K13" s="4" t="n">
        <f aca="false">LN(G13)</f>
        <v>0.0769610411361284</v>
      </c>
      <c r="L13" s="4" t="n">
        <f aca="false">LN(H13)</f>
        <v>-0.776528789498996</v>
      </c>
      <c r="M13" s="4" t="n">
        <f aca="false">LN(I13)</f>
        <v>0.916290731874155</v>
      </c>
      <c r="N13" s="4" t="n">
        <f aca="false">(M13-L13)/(2*1.96)</f>
        <v>0.431841714636008</v>
      </c>
      <c r="Q13" s="29" t="s">
        <v>29</v>
      </c>
      <c r="R13" s="29"/>
      <c r="S13" s="29"/>
    </row>
    <row r="14" customFormat="false" ht="15" hidden="false" customHeight="false" outlineLevel="0" collapsed="false">
      <c r="A14" s="0" t="n">
        <v>2002</v>
      </c>
      <c r="B14" s="10" t="s">
        <v>30</v>
      </c>
      <c r="D14" s="2" t="n">
        <v>9</v>
      </c>
      <c r="E14" s="1" t="n">
        <v>3</v>
      </c>
      <c r="F14" s="1" t="n">
        <v>2</v>
      </c>
      <c r="G14" s="10" t="n">
        <v>1.04</v>
      </c>
      <c r="H14" s="11" t="n">
        <v>0.87</v>
      </c>
      <c r="I14" s="11" t="n">
        <v>1.25</v>
      </c>
      <c r="K14" s="4" t="n">
        <f aca="false">LN(G14)</f>
        <v>0.0392207131532813</v>
      </c>
      <c r="L14" s="4" t="n">
        <f aca="false">LN(H14)</f>
        <v>-0.139262067333508</v>
      </c>
      <c r="M14" s="4" t="n">
        <f aca="false">LN(I14)</f>
        <v>0.22314355131421</v>
      </c>
      <c r="N14" s="4" t="n">
        <f aca="false">(M14-L14)/(2*1.96)</f>
        <v>0.0924504129203361</v>
      </c>
    </row>
    <row r="15" customFormat="false" ht="15" hidden="false" customHeight="false" outlineLevel="0" collapsed="false">
      <c r="A15" s="0" t="n">
        <v>2003</v>
      </c>
      <c r="B15" s="10" t="s">
        <v>31</v>
      </c>
      <c r="D15" s="2" t="n">
        <v>10</v>
      </c>
      <c r="E15" s="1" t="n">
        <v>3</v>
      </c>
      <c r="F15" s="1" t="n">
        <v>2</v>
      </c>
      <c r="G15" s="10" t="n">
        <v>1.11</v>
      </c>
      <c r="H15" s="11" t="n">
        <v>0.8</v>
      </c>
      <c r="I15" s="11" t="n">
        <v>1.54</v>
      </c>
      <c r="K15" s="4" t="n">
        <f aca="false">LN(G15)</f>
        <v>0.104360015324243</v>
      </c>
      <c r="L15" s="4" t="n">
        <f aca="false">LN(H15)</f>
        <v>-0.22314355131421</v>
      </c>
      <c r="M15" s="4" t="n">
        <f aca="false">LN(I15)</f>
        <v>0.431782416425538</v>
      </c>
      <c r="N15" s="4" t="n">
        <f aca="false">(M15-L15)/(2*1.96)</f>
        <v>0.167072950954017</v>
      </c>
    </row>
    <row r="16" customFormat="false" ht="15" hidden="false" customHeight="false" outlineLevel="0" collapsed="false">
      <c r="A16" s="0" t="n">
        <v>2007</v>
      </c>
      <c r="B16" s="10" t="s">
        <v>32</v>
      </c>
      <c r="D16" s="2" t="n">
        <v>11</v>
      </c>
      <c r="E16" s="1" t="n">
        <v>3</v>
      </c>
      <c r="F16" s="1" t="n">
        <v>2</v>
      </c>
      <c r="G16" s="10" t="n">
        <v>1.14</v>
      </c>
      <c r="H16" s="11" t="n">
        <v>0.83</v>
      </c>
      <c r="I16" s="11" t="n">
        <v>1.56</v>
      </c>
      <c r="K16" s="4" t="n">
        <f aca="false">LN(G16)</f>
        <v>0.131028262406404</v>
      </c>
      <c r="L16" s="4" t="n">
        <f aca="false">LN(H16)</f>
        <v>-0.186329578191493</v>
      </c>
      <c r="M16" s="4" t="n">
        <f aca="false">LN(I16)</f>
        <v>0.444685821261446</v>
      </c>
      <c r="N16" s="4" t="n">
        <f aca="false">(M16-L16)/(2*1.96)</f>
        <v>0.160973316186974</v>
      </c>
    </row>
    <row r="17" customFormat="false" ht="15" hidden="false" customHeight="false" outlineLevel="0" collapsed="false">
      <c r="A17" s="0" t="n">
        <v>2010</v>
      </c>
      <c r="B17" s="10" t="s">
        <v>33</v>
      </c>
      <c r="D17" s="18" t="n">
        <v>12</v>
      </c>
      <c r="E17" s="1" t="n">
        <v>3</v>
      </c>
      <c r="F17" s="1" t="n">
        <v>2</v>
      </c>
      <c r="G17" s="10" t="n">
        <v>1.01</v>
      </c>
      <c r="H17" s="11" t="n">
        <v>0.87</v>
      </c>
      <c r="I17" s="11" t="n">
        <v>1.18</v>
      </c>
      <c r="K17" s="4" t="n">
        <f aca="false">LN(G17)</f>
        <v>0.00995033085316809</v>
      </c>
      <c r="L17" s="4" t="n">
        <f aca="false">LN(H17)</f>
        <v>-0.139262067333508</v>
      </c>
      <c r="M17" s="4" t="n">
        <f aca="false">LN(I17)</f>
        <v>0.165514438477573</v>
      </c>
      <c r="N17" s="4" t="n">
        <f aca="false">(M17-L17)/(2*1.96)</f>
        <v>0.0777491086252758</v>
      </c>
    </row>
    <row r="18" customFormat="false" ht="15" hidden="false" customHeight="false" outlineLevel="0" collapsed="false">
      <c r="A18" s="0" t="n">
        <v>2001</v>
      </c>
      <c r="B18" s="10" t="s">
        <v>34</v>
      </c>
      <c r="D18" s="18" t="n">
        <v>13</v>
      </c>
      <c r="E18" s="1" t="n">
        <v>3</v>
      </c>
      <c r="F18" s="1" t="n">
        <v>1</v>
      </c>
      <c r="G18" s="10" t="n">
        <v>0.98</v>
      </c>
      <c r="H18" s="11" t="n">
        <v>0.79</v>
      </c>
      <c r="I18" s="11" t="n">
        <v>1.21</v>
      </c>
      <c r="K18" s="4" t="n">
        <f aca="false">LN(G18)</f>
        <v>-0.0202027073175195</v>
      </c>
      <c r="L18" s="4" t="n">
        <f aca="false">LN(H18)</f>
        <v>-0.23572233352107</v>
      </c>
      <c r="M18" s="4" t="n">
        <f aca="false">LN(I18)</f>
        <v>0.19062035960865</v>
      </c>
      <c r="N18" s="4" t="n">
        <f aca="false">(M18-L18)/(2*1.96)</f>
        <v>0.10876089110452</v>
      </c>
    </row>
    <row r="19" customFormat="false" ht="15" hidden="false" customHeight="false" outlineLevel="0" collapsed="false">
      <c r="A19" s="0" t="n">
        <v>2004</v>
      </c>
      <c r="B19" s="10" t="s">
        <v>35</v>
      </c>
      <c r="D19" s="18" t="n">
        <v>14</v>
      </c>
      <c r="E19" s="1" t="n">
        <v>3</v>
      </c>
      <c r="F19" s="1" t="n">
        <v>1</v>
      </c>
      <c r="G19" s="10" t="n">
        <v>1.13</v>
      </c>
      <c r="H19" s="11" t="n">
        <v>0.76</v>
      </c>
      <c r="I19" s="11" t="n">
        <v>1.68</v>
      </c>
      <c r="K19" s="4" t="n">
        <f aca="false">LN(G19)</f>
        <v>0.122217632724249</v>
      </c>
      <c r="L19" s="4" t="n">
        <f aca="false">LN(H19)</f>
        <v>-0.27443684570176</v>
      </c>
      <c r="M19" s="4" t="n">
        <f aca="false">LN(I19)</f>
        <v>0.518793793415168</v>
      </c>
      <c r="N19" s="4" t="n">
        <f aca="false">(M19-L19)/(2*1.96)</f>
        <v>0.202354754876767</v>
      </c>
    </row>
    <row r="20" customFormat="false" ht="15" hidden="false" customHeight="false" outlineLevel="0" collapsed="false">
      <c r="A20" s="27" t="n">
        <v>2003</v>
      </c>
      <c r="B20" s="18" t="s">
        <v>36</v>
      </c>
      <c r="C20" s="18"/>
      <c r="D20" s="18" t="n">
        <v>15</v>
      </c>
      <c r="E20" s="18" t="n">
        <v>4</v>
      </c>
      <c r="F20" s="18" t="n">
        <v>1</v>
      </c>
      <c r="G20" s="30" t="n">
        <v>0.85</v>
      </c>
      <c r="H20" s="31" t="n">
        <v>0.71</v>
      </c>
      <c r="I20" s="31" t="n">
        <v>1.01</v>
      </c>
      <c r="K20" s="4" t="n">
        <f aca="false">LN(G20)</f>
        <v>-0.162518929497775</v>
      </c>
      <c r="L20" s="4" t="n">
        <f aca="false">LN(H20)</f>
        <v>-0.342490308946776</v>
      </c>
      <c r="M20" s="4" t="n">
        <f aca="false">LN(I20)</f>
        <v>0.00995033085316809</v>
      </c>
      <c r="N20" s="4" t="n">
        <f aca="false">(M20-L20)/(2*1.96)</f>
        <v>0.0899083264795776</v>
      </c>
    </row>
    <row r="21" customFormat="false" ht="15" hidden="false" customHeight="false" outlineLevel="0" collapsed="false">
      <c r="A21" s="27" t="n">
        <v>2005</v>
      </c>
      <c r="B21" s="18" t="s">
        <v>37</v>
      </c>
      <c r="C21" s="18"/>
      <c r="D21" s="18" t="n">
        <v>16</v>
      </c>
      <c r="E21" s="18" t="n">
        <v>4</v>
      </c>
      <c r="F21" s="18" t="n">
        <v>1</v>
      </c>
      <c r="G21" s="30" t="n">
        <v>0.89</v>
      </c>
      <c r="H21" s="31" t="n">
        <v>0.66</v>
      </c>
      <c r="I21" s="31" t="n">
        <v>1.2</v>
      </c>
      <c r="K21" s="4" t="n">
        <f aca="false">LN(G21)</f>
        <v>-0.116533816255952</v>
      </c>
      <c r="L21" s="4" t="n">
        <f aca="false">LN(H21)</f>
        <v>-0.415515443961666</v>
      </c>
      <c r="M21" s="4" t="n">
        <f aca="false">LN(I21)</f>
        <v>0.182321556793955</v>
      </c>
      <c r="N21" s="4" t="n">
        <f aca="false">(M21-L21)/(2*1.96)</f>
        <v>0.152509438968271</v>
      </c>
    </row>
    <row r="22" customFormat="false" ht="15" hidden="false" customHeight="false" outlineLevel="0" collapsed="false">
      <c r="A22" s="27" t="n">
        <v>2007</v>
      </c>
      <c r="B22" s="18" t="s">
        <v>38</v>
      </c>
      <c r="C22" s="18"/>
      <c r="D22" s="18" t="n">
        <v>17</v>
      </c>
      <c r="E22" s="18" t="n">
        <v>4</v>
      </c>
      <c r="F22" s="18" t="n">
        <v>1</v>
      </c>
      <c r="G22" s="30" t="n">
        <v>0.99</v>
      </c>
      <c r="H22" s="31" t="n">
        <v>0.58</v>
      </c>
      <c r="I22" s="31" t="n">
        <v>1.69</v>
      </c>
      <c r="K22" s="4" t="n">
        <f aca="false">LN(G22)</f>
        <v>-0.0100503358535015</v>
      </c>
      <c r="L22" s="4" t="n">
        <f aca="false">LN(H22)</f>
        <v>-0.544727175441672</v>
      </c>
      <c r="M22" s="4" t="n">
        <f aca="false">LN(I22)</f>
        <v>0.524728528934982</v>
      </c>
      <c r="N22" s="4" t="n">
        <f aca="false">(M22-L22)/(2*1.96)</f>
        <v>0.272820332749147</v>
      </c>
    </row>
    <row r="23" customFormat="false" ht="15" hidden="false" customHeight="false" outlineLevel="0" collapsed="false">
      <c r="A23" s="27" t="n">
        <v>2009</v>
      </c>
      <c r="B23" s="18" t="s">
        <v>39</v>
      </c>
      <c r="C23" s="18"/>
      <c r="D23" s="18" t="n">
        <v>18</v>
      </c>
      <c r="E23" s="18" t="n">
        <v>4</v>
      </c>
      <c r="F23" s="18" t="n">
        <v>1</v>
      </c>
      <c r="G23" s="30" t="n">
        <v>0.93</v>
      </c>
      <c r="H23" s="31" t="n">
        <v>0.73</v>
      </c>
      <c r="I23" s="31" t="n">
        <v>1.18</v>
      </c>
      <c r="K23" s="4" t="n">
        <f aca="false">LN(G23)</f>
        <v>-0.0725706928348354</v>
      </c>
      <c r="L23" s="4" t="n">
        <f aca="false">LN(H23)</f>
        <v>-0.3147107448397</v>
      </c>
      <c r="M23" s="4" t="n">
        <f aca="false">LN(I23)</f>
        <v>0.165514438477573</v>
      </c>
      <c r="N23" s="4" t="n">
        <f aca="false">(M23-L23)/(2*1.96)</f>
        <v>0.122506424315631</v>
      </c>
    </row>
    <row r="34" s="32" customFormat="true" ht="15" hidden="false" customHeight="false" outlineLevel="0" collapsed="false">
      <c r="A34" s="0"/>
      <c r="B34" s="1"/>
      <c r="C34" s="1"/>
      <c r="D34" s="2"/>
      <c r="E34" s="1"/>
      <c r="F34" s="1"/>
      <c r="G34" s="3"/>
      <c r="H34" s="4"/>
      <c r="I34" s="4"/>
      <c r="K34" s="4"/>
      <c r="L34" s="4"/>
      <c r="N34" s="4"/>
    </row>
    <row r="35" customFormat="false" ht="15" hidden="false" customHeight="false" outlineLevel="0" collapsed="false">
      <c r="A35" s="32"/>
    </row>
    <row r="38" customFormat="false" ht="15" hidden="false" customHeight="false" outlineLevel="0" collapsed="false">
      <c r="B38" s="33"/>
      <c r="C38" s="33"/>
      <c r="D38" s="34"/>
      <c r="E38" s="33"/>
      <c r="F38" s="33"/>
      <c r="G38" s="35"/>
      <c r="H38" s="36"/>
      <c r="I38" s="36"/>
    </row>
  </sheetData>
  <mergeCells count="1">
    <mergeCell ref="Q13:S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1B67A-A808-4C2C-A82D-1D0D69019A9A}"/>
</file>

<file path=customXml/itemProps2.xml><?xml version="1.0" encoding="utf-8"?>
<ds:datastoreItem xmlns:ds="http://schemas.openxmlformats.org/officeDocument/2006/customXml" ds:itemID="{AC223818-9311-49DC-8569-CBFB77E2C305}"/>
</file>

<file path=customXml/itemProps3.xml><?xml version="1.0" encoding="utf-8"?>
<ds:datastoreItem xmlns:ds="http://schemas.openxmlformats.org/officeDocument/2006/customXml" ds:itemID="{E79EB9C5-7A8A-4407-9031-29DB70D0ACC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dc:description/>
  <cp:lastModifiedBy>Theodore Papakonstantinou</cp:lastModifiedBy>
  <cp:revision>1</cp:revision>
  <dcterms:created xsi:type="dcterms:W3CDTF">2011-01-10T18:11:05Z</dcterms:created>
  <dcterms:modified xsi:type="dcterms:W3CDTF">2019-04-15T14:17:14Z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