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<sst xmlns="http://schemas.openxmlformats.org/spreadsheetml/2006/main" count="62" uniqueCount="58">
  <si>
    <t xml:space="preserve">year</t>
  </si>
  <si>
    <t xml:space="preserve">study (author)</t>
  </si>
  <si>
    <t xml:space="preserve">id</t>
  </si>
  <si>
    <t xml:space="preserve">t</t>
  </si>
  <si>
    <t xml:space="preserve">y</t>
  </si>
  <si>
    <t xml:space="preserve">SE</t>
  </si>
  <si>
    <t xml:space="preserve">n</t>
  </si>
  <si>
    <t xml:space="preserve">sd</t>
  </si>
  <si>
    <t xml:space="preserve">Beneficial</t>
  </si>
  <si>
    <r>
      <rPr>
        <b val="true"/>
        <sz val="11"/>
        <color rgb="FF000000"/>
        <rFont val="Calibri"/>
        <family val="2"/>
        <charset val="1"/>
      </rPr>
      <t xml:space="preserve">Outcome: </t>
    </r>
    <r>
      <rPr>
        <sz val="11"/>
        <color rgb="FF000000"/>
        <rFont val="Calibri"/>
        <family val="2"/>
        <charset val="1"/>
      </rPr>
      <t xml:space="preserve">change in glycated haemoglobin A1c (A1C) in patients with type 2 diabetes inadequately controlled with metformin</t>
    </r>
  </si>
  <si>
    <t xml:space="preserve">Feinglos</t>
  </si>
  <si>
    <t xml:space="preserve">Treatment</t>
  </si>
  <si>
    <t xml:space="preserve">Code</t>
  </si>
  <si>
    <t xml:space="preserve">Ristic</t>
  </si>
  <si>
    <t xml:space="preserve">Placebo</t>
  </si>
  <si>
    <t xml:space="preserve">Sulfonylureas</t>
  </si>
  <si>
    <t xml:space="preserve">Matthews</t>
  </si>
  <si>
    <t xml:space="preserve">Glinides</t>
  </si>
  <si>
    <t xml:space="preserve">Thiazolidinedione (TZD)</t>
  </si>
  <si>
    <t xml:space="preserve">Umpierez</t>
  </si>
  <si>
    <t xml:space="preserve">Dipeptidyl peptidase-4 (DPP4) inhibitors</t>
  </si>
  <si>
    <t xml:space="preserve">Glucagon-like  peptide-1 (GLP-1) analogues</t>
  </si>
  <si>
    <t xml:space="preserve">Nauck</t>
  </si>
  <si>
    <t xml:space="preserve">α- glucosidase inhibitors (AGI)</t>
  </si>
  <si>
    <t xml:space="preserve">Basal insulin</t>
  </si>
  <si>
    <t xml:space="preserve">Ferrannini</t>
  </si>
  <si>
    <t xml:space="preserve">Biphasic insulin</t>
  </si>
  <si>
    <t xml:space="preserve">Filozof</t>
  </si>
  <si>
    <t xml:space="preserve">Goke</t>
  </si>
  <si>
    <t xml:space="preserve">Arechavaleta</t>
  </si>
  <si>
    <t xml:space="preserve">Yang</t>
  </si>
  <si>
    <t xml:space="preserve">Kvapil</t>
  </si>
  <si>
    <t xml:space="preserve">Moses</t>
  </si>
  <si>
    <t xml:space="preserve">Marre</t>
  </si>
  <si>
    <t xml:space="preserve">Rosenstock</t>
  </si>
  <si>
    <t xml:space="preserve">Halimi</t>
  </si>
  <si>
    <t xml:space="preserve">Van Gaal</t>
  </si>
  <si>
    <t xml:space="preserve">Phillips</t>
  </si>
  <si>
    <t xml:space="preserve">Einhorn</t>
  </si>
  <si>
    <t xml:space="preserve">Kaku</t>
  </si>
  <si>
    <t xml:space="preserve">Bolli</t>
  </si>
  <si>
    <t xml:space="preserve">Bergenstal</t>
  </si>
  <si>
    <t xml:space="preserve">Ahren</t>
  </si>
  <si>
    <t xml:space="preserve">Charbonnel</t>
  </si>
  <si>
    <t xml:space="preserve">Bosi</t>
  </si>
  <si>
    <t xml:space="preserve">Scott</t>
  </si>
  <si>
    <t xml:space="preserve">Raz</t>
  </si>
  <si>
    <t xml:space="preserve">Goodman</t>
  </si>
  <si>
    <t xml:space="preserve">2009b</t>
  </si>
  <si>
    <t xml:space="preserve">De Fronzo</t>
  </si>
  <si>
    <t xml:space="preserve">Forst</t>
  </si>
  <si>
    <t xml:space="preserve">Taskinen</t>
  </si>
  <si>
    <t xml:space="preserve">Pratley</t>
  </si>
  <si>
    <t xml:space="preserve">Barnett</t>
  </si>
  <si>
    <t xml:space="preserve">Bunck</t>
  </si>
  <si>
    <t xml:space="preserve">Raskin</t>
  </si>
  <si>
    <t xml:space="preserve">2011b</t>
  </si>
  <si>
    <t xml:space="preserve">Derosa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</si>
</sst>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0" activeCellId="0" sqref="H80"/>
    </sheetView>
  </sheetViews>
  <sheetFormatPr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3.7"/>
    <col collapsed="false" customWidth="true" hidden="false" outlineLevel="0" max="4" min="3" style="1" width="9.14"/>
    <col collapsed="false" customWidth="true" hidden="false" outlineLevel="0" max="6" min="5" style="2" width="9.14"/>
    <col collapsed="false" customWidth="true" hidden="false" outlineLevel="0" max="7" min="7" style="1" width="9.14"/>
    <col collapsed="false" customWidth="true" hidden="false" outlineLevel="0" max="9" min="8" style="0" width="9.14"/>
    <col collapsed="false" customWidth="true" hidden="false" outlineLevel="0" max="10" min="10" style="0" width="39.7"/>
    <col collapsed="false" customWidth="true" hidden="false" outlineLevel="0" max="1025" min="11" style="0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6" t="s">
        <v>8</v>
      </c>
      <c r="J1" s="6" t="s">
        <v>9</v>
      </c>
    </row>
    <row r="2" customFormat="false" ht="15" hidden="false" customHeight="false" outlineLevel="0" collapsed="false">
      <c r="A2" s="1" t="n">
        <v>2005</v>
      </c>
      <c r="B2" s="1" t="s">
        <v>10</v>
      </c>
      <c r="C2" s="7" t="n">
        <v>1</v>
      </c>
      <c r="D2" s="7" t="n">
        <v>1</v>
      </c>
      <c r="E2" s="8" t="n">
        <v>-0.19</v>
      </c>
      <c r="F2" s="8" t="n">
        <v>0.1</v>
      </c>
      <c r="G2" s="7" t="n">
        <v>61</v>
      </c>
      <c r="H2" s="0" t="n">
        <f aca="false">F2*SQRT(G2)</f>
        <v>0.781024967590666</v>
      </c>
    </row>
    <row r="3" customFormat="false" ht="15" hidden="false" customHeight="false" outlineLevel="0" collapsed="false">
      <c r="C3" s="7" t="n">
        <v>1</v>
      </c>
      <c r="D3" s="7" t="n">
        <v>2</v>
      </c>
      <c r="E3" s="8" t="n">
        <v>-0.66</v>
      </c>
      <c r="F3" s="8" t="n">
        <v>0.1</v>
      </c>
      <c r="G3" s="7" t="n">
        <v>61</v>
      </c>
      <c r="H3" s="0" t="n">
        <f aca="false">F3*SQRT(G3)</f>
        <v>0.781024967590666</v>
      </c>
      <c r="J3" s="6" t="s">
        <v>11</v>
      </c>
      <c r="K3" s="6" t="s">
        <v>12</v>
      </c>
    </row>
    <row r="4" customFormat="false" ht="15" hidden="false" customHeight="false" outlineLevel="0" collapsed="false">
      <c r="A4" s="1" t="n">
        <v>2006</v>
      </c>
      <c r="B4" s="1" t="s">
        <v>13</v>
      </c>
      <c r="C4" s="7" t="n">
        <v>2</v>
      </c>
      <c r="D4" s="7" t="n">
        <v>2</v>
      </c>
      <c r="E4" s="8" t="n">
        <v>-0.57</v>
      </c>
      <c r="F4" s="8" t="n">
        <v>0.08</v>
      </c>
      <c r="G4" s="7" t="n">
        <v>129</v>
      </c>
      <c r="H4" s="0" t="n">
        <f aca="false">F4*SQRT(G4)</f>
        <v>0.908625335328044</v>
      </c>
      <c r="J4" s="0" t="s">
        <v>14</v>
      </c>
      <c r="K4" s="9" t="n">
        <v>1</v>
      </c>
    </row>
    <row r="5" customFormat="false" ht="15" hidden="false" customHeight="false" outlineLevel="0" collapsed="false">
      <c r="C5" s="7" t="n">
        <v>2</v>
      </c>
      <c r="D5" s="7" t="n">
        <v>3</v>
      </c>
      <c r="E5" s="8" t="n">
        <v>-0.41</v>
      </c>
      <c r="F5" s="8" t="n">
        <v>0.08</v>
      </c>
      <c r="G5" s="7" t="n">
        <v>133</v>
      </c>
      <c r="H5" s="0" t="n">
        <f aca="false">F5*SQRT(G5)</f>
        <v>0.922605007573664</v>
      </c>
      <c r="J5" s="0" t="s">
        <v>15</v>
      </c>
      <c r="K5" s="9" t="n">
        <v>2</v>
      </c>
    </row>
    <row r="6" customFormat="false" ht="15" hidden="false" customHeight="false" outlineLevel="0" collapsed="false">
      <c r="A6" s="1" t="n">
        <v>2005</v>
      </c>
      <c r="B6" s="1" t="s">
        <v>16</v>
      </c>
      <c r="C6" s="7" t="n">
        <v>3</v>
      </c>
      <c r="D6" s="7" t="n">
        <v>2</v>
      </c>
      <c r="E6" s="8" t="n">
        <v>-1.01</v>
      </c>
      <c r="F6" s="8" t="n">
        <v>0.11</v>
      </c>
      <c r="G6" s="1" t="n">
        <v>313</v>
      </c>
      <c r="H6" s="0" t="n">
        <f aca="false">F6*SQRT(G6)</f>
        <v>1.94609866142495</v>
      </c>
      <c r="J6" s="0" t="s">
        <v>17</v>
      </c>
      <c r="K6" s="9" t="n">
        <v>3</v>
      </c>
    </row>
    <row r="7" customFormat="false" ht="15" hidden="false" customHeight="false" outlineLevel="0" collapsed="false">
      <c r="C7" s="7" t="n">
        <v>3</v>
      </c>
      <c r="D7" s="7" t="n">
        <v>4</v>
      </c>
      <c r="E7" s="8" t="n">
        <v>-0.99</v>
      </c>
      <c r="F7" s="8" t="n">
        <v>0.11</v>
      </c>
      <c r="G7" s="1" t="n">
        <v>317</v>
      </c>
      <c r="H7" s="0" t="n">
        <f aca="false">F7*SQRT(G7)</f>
        <v>1.95849431962413</v>
      </c>
      <c r="J7" s="0" t="s">
        <v>18</v>
      </c>
      <c r="K7" s="9" t="n">
        <v>4</v>
      </c>
    </row>
    <row r="8" customFormat="false" ht="15" hidden="false" customHeight="false" outlineLevel="0" collapsed="false">
      <c r="A8" s="1" t="n">
        <v>2006</v>
      </c>
      <c r="B8" s="1" t="s">
        <v>19</v>
      </c>
      <c r="C8" s="7" t="n">
        <v>4</v>
      </c>
      <c r="D8" s="7" t="n">
        <v>2</v>
      </c>
      <c r="E8" s="8" t="n">
        <v>-1.3</v>
      </c>
      <c r="F8" s="8" t="n">
        <v>0.08</v>
      </c>
      <c r="G8" s="1" t="n">
        <v>96</v>
      </c>
      <c r="H8" s="0" t="n">
        <f aca="false">F8*SQRT(G8)</f>
        <v>0.783836717690617</v>
      </c>
      <c r="J8" s="0" t="s">
        <v>20</v>
      </c>
      <c r="K8" s="9" t="n">
        <v>5</v>
      </c>
    </row>
    <row r="9" customFormat="false" ht="15" hidden="false" customHeight="false" outlineLevel="0" collapsed="false">
      <c r="C9" s="7" t="n">
        <v>4</v>
      </c>
      <c r="D9" s="7" t="n">
        <v>4</v>
      </c>
      <c r="E9" s="8" t="n">
        <v>-1.23</v>
      </c>
      <c r="F9" s="8" t="n">
        <v>0.07</v>
      </c>
      <c r="G9" s="1" t="n">
        <v>107</v>
      </c>
      <c r="H9" s="0" t="n">
        <f aca="false">F9*SQRT(G9)</f>
        <v>0.724085630295202</v>
      </c>
      <c r="J9" s="0" t="s">
        <v>21</v>
      </c>
      <c r="K9" s="9" t="n">
        <v>6</v>
      </c>
    </row>
    <row r="10" customFormat="false" ht="15" hidden="false" customHeight="false" outlineLevel="0" collapsed="false">
      <c r="A10" s="1" t="n">
        <v>2007</v>
      </c>
      <c r="B10" s="1" t="s">
        <v>22</v>
      </c>
      <c r="C10" s="7" t="n">
        <v>5</v>
      </c>
      <c r="D10" s="7" t="n">
        <v>2</v>
      </c>
      <c r="E10" s="8" t="n">
        <v>-0.56</v>
      </c>
      <c r="F10" s="8" t="n">
        <v>0.04</v>
      </c>
      <c r="G10" s="1" t="n">
        <v>584</v>
      </c>
      <c r="H10" s="0" t="n">
        <f aca="false">F10*SQRT(G10)</f>
        <v>0.966643677887566</v>
      </c>
      <c r="J10" s="0" t="s">
        <v>23</v>
      </c>
      <c r="K10" s="9" t="n">
        <v>7</v>
      </c>
    </row>
    <row r="11" customFormat="false" ht="15" hidden="false" customHeight="false" outlineLevel="0" collapsed="false">
      <c r="C11" s="7" t="n">
        <v>5</v>
      </c>
      <c r="D11" s="7" t="n">
        <v>5</v>
      </c>
      <c r="E11" s="8" t="n">
        <v>-0.51</v>
      </c>
      <c r="F11" s="8" t="n">
        <v>0.04</v>
      </c>
      <c r="G11" s="1" t="n">
        <v>588</v>
      </c>
      <c r="H11" s="0" t="n">
        <f aca="false">F11*SQRT(G11)</f>
        <v>0.969948452238571</v>
      </c>
      <c r="J11" s="0" t="s">
        <v>24</v>
      </c>
      <c r="K11" s="9" t="n">
        <v>8</v>
      </c>
    </row>
    <row r="12" customFormat="false" ht="15" hidden="false" customHeight="false" outlineLevel="0" collapsed="false">
      <c r="A12" s="1" t="n">
        <v>2009</v>
      </c>
      <c r="B12" s="1" t="s">
        <v>25</v>
      </c>
      <c r="C12" s="7" t="n">
        <v>6</v>
      </c>
      <c r="D12" s="7" t="n">
        <v>2</v>
      </c>
      <c r="E12" s="8" t="n">
        <v>-0.53</v>
      </c>
      <c r="F12" s="8" t="n">
        <v>0.02</v>
      </c>
      <c r="G12" s="1" t="n">
        <v>1393</v>
      </c>
      <c r="H12" s="0" t="n">
        <f aca="false">F12*SQRT(G12)</f>
        <v>0.746458304260861</v>
      </c>
      <c r="J12" s="0" t="s">
        <v>26</v>
      </c>
      <c r="K12" s="9" t="n">
        <v>9</v>
      </c>
    </row>
    <row r="13" customFormat="false" ht="15" hidden="false" customHeight="false" outlineLevel="0" collapsed="false">
      <c r="C13" s="7" t="n">
        <v>6</v>
      </c>
      <c r="D13" s="7" t="n">
        <v>5</v>
      </c>
      <c r="E13" s="8" t="n">
        <v>-0.44</v>
      </c>
      <c r="F13" s="8" t="n">
        <v>0.02</v>
      </c>
      <c r="G13" s="1" t="n">
        <v>1396</v>
      </c>
      <c r="H13" s="0" t="n">
        <f aca="false">F13*SQRT(G13)</f>
        <v>0.747261667690776</v>
      </c>
    </row>
    <row r="14" customFormat="false" ht="15" hidden="false" customHeight="false" outlineLevel="0" collapsed="false">
      <c r="A14" s="1" t="n">
        <v>2010</v>
      </c>
      <c r="B14" s="1" t="s">
        <v>27</v>
      </c>
      <c r="C14" s="7" t="n">
        <v>7</v>
      </c>
      <c r="D14" s="7" t="n">
        <v>2</v>
      </c>
      <c r="E14" s="8" t="n">
        <v>-0.85</v>
      </c>
      <c r="F14" s="8" t="n">
        <v>0.06</v>
      </c>
      <c r="G14" s="1" t="n">
        <v>494</v>
      </c>
      <c r="H14" s="0" t="n">
        <f aca="false">F14*SQRT(G14)</f>
        <v>1.33356664625357</v>
      </c>
    </row>
    <row r="15" customFormat="false" ht="15" hidden="false" customHeight="false" outlineLevel="0" collapsed="false">
      <c r="C15" s="7" t="n">
        <v>7</v>
      </c>
      <c r="D15" s="7" t="n">
        <v>5</v>
      </c>
      <c r="E15" s="8" t="n">
        <v>-0.81</v>
      </c>
      <c r="F15" s="8" t="n">
        <v>0.06</v>
      </c>
      <c r="G15" s="1" t="n">
        <v>513</v>
      </c>
      <c r="H15" s="0" t="n">
        <f aca="false">F15*SQRT(G15)</f>
        <v>1.35897019834874</v>
      </c>
    </row>
    <row r="16" customFormat="false" ht="15" hidden="false" customHeight="false" outlineLevel="0" collapsed="false">
      <c r="A16" s="1" t="n">
        <v>2010</v>
      </c>
      <c r="B16" s="1" t="s">
        <v>28</v>
      </c>
      <c r="C16" s="7" t="n">
        <v>8</v>
      </c>
      <c r="D16" s="7" t="n">
        <v>2</v>
      </c>
      <c r="E16" s="8" t="n">
        <v>-0.8</v>
      </c>
      <c r="F16" s="8" t="n">
        <v>0.04</v>
      </c>
      <c r="G16" s="1" t="n">
        <v>430</v>
      </c>
      <c r="H16" s="0" t="n">
        <f aca="false">F16*SQRT(G16)</f>
        <v>0.829457654133109</v>
      </c>
    </row>
    <row r="17" customFormat="false" ht="15" hidden="false" customHeight="false" outlineLevel="0" collapsed="false">
      <c r="C17" s="7" t="n">
        <v>8</v>
      </c>
      <c r="D17" s="7" t="n">
        <v>5</v>
      </c>
      <c r="E17" s="8" t="n">
        <v>-0.74</v>
      </c>
      <c r="F17" s="8" t="n">
        <v>0.04</v>
      </c>
      <c r="G17" s="1" t="n">
        <v>428</v>
      </c>
      <c r="H17" s="0" t="n">
        <f aca="false">F17*SQRT(G17)</f>
        <v>0.827526434623088</v>
      </c>
    </row>
    <row r="18" customFormat="false" ht="15" hidden="false" customHeight="false" outlineLevel="0" collapsed="false">
      <c r="A18" s="1" t="n">
        <v>2011</v>
      </c>
      <c r="B18" s="1" t="s">
        <v>29</v>
      </c>
      <c r="C18" s="7" t="n">
        <v>9</v>
      </c>
      <c r="D18" s="7" t="n">
        <v>2</v>
      </c>
      <c r="E18" s="8" t="n">
        <v>-0.52</v>
      </c>
      <c r="F18" s="8" t="n">
        <v>0.04</v>
      </c>
      <c r="G18" s="1" t="n">
        <v>519</v>
      </c>
      <c r="H18" s="0" t="n">
        <f aca="false">F18*SQRT(G18)</f>
        <v>0.911262859991561</v>
      </c>
    </row>
    <row r="19" customFormat="false" ht="15" hidden="false" customHeight="false" outlineLevel="0" collapsed="false">
      <c r="C19" s="7" t="n">
        <v>9</v>
      </c>
      <c r="D19" s="7" t="n">
        <v>5</v>
      </c>
      <c r="E19" s="8" t="n">
        <v>-0.46</v>
      </c>
      <c r="F19" s="8" t="n">
        <v>0.04</v>
      </c>
      <c r="G19" s="1" t="n">
        <v>516</v>
      </c>
      <c r="H19" s="0" t="n">
        <f aca="false">F19*SQRT(G19)</f>
        <v>0.908625335328044</v>
      </c>
    </row>
    <row r="20" customFormat="false" ht="15" hidden="false" customHeight="false" outlineLevel="0" collapsed="false">
      <c r="A20" s="1" t="n">
        <v>2009</v>
      </c>
      <c r="B20" s="1" t="s">
        <v>22</v>
      </c>
      <c r="C20" s="7" t="n">
        <v>10</v>
      </c>
      <c r="D20" s="7" t="n">
        <v>1</v>
      </c>
      <c r="E20" s="8" t="n">
        <v>0.1</v>
      </c>
      <c r="F20" s="8" t="n">
        <v>0.1</v>
      </c>
      <c r="G20" s="1" t="n">
        <v>121</v>
      </c>
      <c r="H20" s="0" t="n">
        <f aca="false">F20*SQRT(G20)</f>
        <v>1.1</v>
      </c>
    </row>
    <row r="21" customFormat="false" ht="15" hidden="false" customHeight="false" outlineLevel="0" collapsed="false">
      <c r="C21" s="7" t="n">
        <v>10</v>
      </c>
      <c r="D21" s="7" t="n">
        <v>2</v>
      </c>
      <c r="E21" s="8" t="n">
        <v>-1</v>
      </c>
      <c r="F21" s="8" t="n">
        <v>0.1</v>
      </c>
      <c r="G21" s="1" t="n">
        <v>242</v>
      </c>
      <c r="H21" s="0" t="n">
        <f aca="false">F21*SQRT(G21)</f>
        <v>1.5556349186104</v>
      </c>
    </row>
    <row r="22" customFormat="false" ht="15" hidden="false" customHeight="false" outlineLevel="0" collapsed="false">
      <c r="C22" s="7" t="n">
        <v>10</v>
      </c>
      <c r="D22" s="7" t="n">
        <v>6</v>
      </c>
      <c r="E22" s="8" t="n">
        <v>-1</v>
      </c>
      <c r="F22" s="8" t="n">
        <v>0.1</v>
      </c>
      <c r="G22" s="1" t="n">
        <v>242</v>
      </c>
      <c r="H22" s="0" t="n">
        <f aca="false">F22*SQRT(G22)</f>
        <v>1.5556349186104</v>
      </c>
    </row>
    <row r="23" customFormat="false" ht="15" hidden="false" customHeight="false" outlineLevel="0" collapsed="false">
      <c r="A23" s="1" t="n">
        <v>2011</v>
      </c>
      <c r="B23" s="1" t="s">
        <v>30</v>
      </c>
      <c r="C23" s="7" t="n">
        <v>11</v>
      </c>
      <c r="D23" s="7" t="n">
        <v>2</v>
      </c>
      <c r="E23" s="8" t="n">
        <v>-1.39</v>
      </c>
      <c r="F23" s="8" t="n">
        <v>0.08</v>
      </c>
      <c r="G23" s="1" t="n">
        <v>231</v>
      </c>
      <c r="H23" s="0" t="n">
        <f aca="false">F23*SQRT(G23)</f>
        <v>1.21589473228565</v>
      </c>
    </row>
    <row r="24" customFormat="false" ht="15" hidden="false" customHeight="false" outlineLevel="0" collapsed="false">
      <c r="C24" s="7" t="n">
        <v>11</v>
      </c>
      <c r="D24" s="7" t="n">
        <v>6</v>
      </c>
      <c r="E24" s="8" t="n">
        <v>-1.45</v>
      </c>
      <c r="F24" s="8" t="n">
        <v>0.08</v>
      </c>
      <c r="G24" s="1" t="n">
        <v>233</v>
      </c>
      <c r="H24" s="0" t="n">
        <f aca="false">F24*SQRT(G24)</f>
        <v>1.2211470017979</v>
      </c>
    </row>
    <row r="25" customFormat="false" ht="15" hidden="false" customHeight="false" outlineLevel="0" collapsed="false">
      <c r="A25" s="1" t="n">
        <v>2006</v>
      </c>
      <c r="B25" s="1" t="s">
        <v>31</v>
      </c>
      <c r="C25" s="7" t="n">
        <v>12</v>
      </c>
      <c r="D25" s="7" t="n">
        <v>2</v>
      </c>
      <c r="E25" s="8" t="n">
        <v>-1.7</v>
      </c>
      <c r="F25" s="8" t="n">
        <v>0.15</v>
      </c>
      <c r="G25" s="1" t="n">
        <v>114</v>
      </c>
      <c r="H25" s="0" t="n">
        <f aca="false">F25*SQRT(G25)</f>
        <v>1.6015617378047</v>
      </c>
    </row>
    <row r="26" customFormat="false" ht="15" hidden="false" customHeight="false" outlineLevel="0" collapsed="false">
      <c r="C26" s="7" t="n">
        <v>12</v>
      </c>
      <c r="D26" s="7" t="n">
        <v>9</v>
      </c>
      <c r="E26" s="8" t="n">
        <v>-1.7</v>
      </c>
      <c r="F26" s="8" t="n">
        <v>0.15</v>
      </c>
      <c r="G26" s="1" t="n">
        <v>108</v>
      </c>
      <c r="H26" s="0" t="n">
        <f aca="false">F26*SQRT(G26)</f>
        <v>1.55884572681199</v>
      </c>
    </row>
    <row r="27" customFormat="false" ht="15" hidden="false" customHeight="false" outlineLevel="0" collapsed="false">
      <c r="A27" s="1" t="n">
        <v>1999</v>
      </c>
      <c r="B27" s="1" t="s">
        <v>32</v>
      </c>
      <c r="C27" s="7" t="n">
        <v>13</v>
      </c>
      <c r="D27" s="7" t="n">
        <v>1</v>
      </c>
      <c r="E27" s="8" t="n">
        <v>-0.33</v>
      </c>
      <c r="F27" s="8" t="n">
        <v>0.24</v>
      </c>
      <c r="G27" s="1" t="n">
        <v>27</v>
      </c>
      <c r="H27" s="0" t="n">
        <f aca="false">F27*SQRT(G27)</f>
        <v>1.24707658144959</v>
      </c>
    </row>
    <row r="28" customFormat="false" ht="15" hidden="false" customHeight="false" outlineLevel="0" collapsed="false">
      <c r="C28" s="7" t="n">
        <v>13</v>
      </c>
      <c r="D28" s="7" t="n">
        <v>3</v>
      </c>
      <c r="E28" s="8" t="n">
        <v>-1.41</v>
      </c>
      <c r="F28" s="8" t="n">
        <v>0.23</v>
      </c>
      <c r="G28" s="1" t="n">
        <v>27</v>
      </c>
      <c r="H28" s="0" t="n">
        <f aca="false">F28*SQRT(G28)</f>
        <v>1.19511505722253</v>
      </c>
    </row>
    <row r="29" customFormat="false" ht="15" hidden="false" customHeight="false" outlineLevel="0" collapsed="false">
      <c r="A29" s="1" t="n">
        <v>2002</v>
      </c>
      <c r="B29" s="1" t="s">
        <v>33</v>
      </c>
      <c r="C29" s="7" t="n">
        <v>14</v>
      </c>
      <c r="D29" s="7" t="n">
        <v>1</v>
      </c>
      <c r="E29" s="8" t="n">
        <v>-0.13</v>
      </c>
      <c r="F29" s="8" t="n">
        <v>0.24</v>
      </c>
      <c r="G29" s="1" t="n">
        <v>152</v>
      </c>
      <c r="H29" s="0" t="n">
        <f aca="false">F29*SQRT(G29)</f>
        <v>2.95891872142511</v>
      </c>
    </row>
    <row r="30" customFormat="false" ht="15" hidden="false" customHeight="false" outlineLevel="0" collapsed="false">
      <c r="C30" s="7" t="n">
        <v>14</v>
      </c>
      <c r="D30" s="7" t="n">
        <v>3</v>
      </c>
      <c r="E30" s="8" t="n">
        <v>-0.72</v>
      </c>
      <c r="F30" s="8" t="n">
        <v>0.23</v>
      </c>
      <c r="G30" s="1" t="n">
        <v>160</v>
      </c>
      <c r="H30" s="0" t="n">
        <f aca="false">F30*SQRT(G30)</f>
        <v>2.90929544735491</v>
      </c>
    </row>
    <row r="31" customFormat="false" ht="15" hidden="false" customHeight="false" outlineLevel="0" collapsed="false">
      <c r="A31" s="1" t="n">
        <v>1998</v>
      </c>
      <c r="B31" s="1" t="s">
        <v>34</v>
      </c>
      <c r="C31" s="7" t="n">
        <v>15</v>
      </c>
      <c r="D31" s="7" t="n">
        <v>1</v>
      </c>
      <c r="E31" s="8" t="n">
        <v>0.08</v>
      </c>
      <c r="F31" s="8" t="n">
        <v>0.16</v>
      </c>
      <c r="G31" s="1" t="n">
        <v>74</v>
      </c>
      <c r="H31" s="0" t="n">
        <f aca="false">F31*SQRT(G31)</f>
        <v>1.37637204272682</v>
      </c>
    </row>
    <row r="32" customFormat="false" ht="15" hidden="false" customHeight="false" outlineLevel="0" collapsed="false">
      <c r="C32" s="7" t="n">
        <v>15</v>
      </c>
      <c r="D32" s="7" t="n">
        <v>7</v>
      </c>
      <c r="E32" s="8" t="n">
        <v>-0.57</v>
      </c>
      <c r="F32" s="8" t="n">
        <v>0.16</v>
      </c>
      <c r="G32" s="1" t="n">
        <v>74</v>
      </c>
      <c r="H32" s="0" t="n">
        <f aca="false">F32*SQRT(G32)</f>
        <v>1.37637204272682</v>
      </c>
    </row>
    <row r="33" customFormat="false" ht="15" hidden="false" customHeight="false" outlineLevel="0" collapsed="false">
      <c r="A33" s="1" t="n">
        <v>2000</v>
      </c>
      <c r="B33" s="1" t="s">
        <v>35</v>
      </c>
      <c r="C33" s="7" t="n">
        <v>16</v>
      </c>
      <c r="D33" s="7" t="n">
        <v>1</v>
      </c>
      <c r="E33" s="8" t="n">
        <v>0.2</v>
      </c>
      <c r="F33" s="8" t="n">
        <v>0.16</v>
      </c>
      <c r="G33" s="1" t="n">
        <v>70</v>
      </c>
      <c r="H33" s="0" t="n">
        <f aca="false">F33*SQRT(G33)</f>
        <v>1.33865604245452</v>
      </c>
    </row>
    <row r="34" customFormat="false" ht="15" hidden="false" customHeight="false" outlineLevel="0" collapsed="false">
      <c r="C34" s="7" t="n">
        <v>16</v>
      </c>
      <c r="D34" s="7" t="n">
        <v>7</v>
      </c>
      <c r="E34" s="8" t="n">
        <v>-0.7</v>
      </c>
      <c r="F34" s="8" t="n">
        <v>0.16</v>
      </c>
      <c r="G34" s="1" t="n">
        <v>59</v>
      </c>
      <c r="H34" s="0" t="n">
        <f aca="false">F34*SQRT(G34)</f>
        <v>1.22898331965898</v>
      </c>
    </row>
    <row r="35" customFormat="false" ht="15" hidden="false" customHeight="false" outlineLevel="0" collapsed="false">
      <c r="A35" s="1" t="n">
        <v>2001</v>
      </c>
      <c r="B35" s="1" t="s">
        <v>36</v>
      </c>
      <c r="C35" s="7" t="n">
        <v>17</v>
      </c>
      <c r="D35" s="7" t="n">
        <v>1</v>
      </c>
      <c r="E35" s="8" t="n">
        <v>0.22</v>
      </c>
      <c r="F35" s="8" t="n">
        <v>0.13</v>
      </c>
      <c r="G35" s="1" t="n">
        <v>75</v>
      </c>
      <c r="H35" s="0" t="n">
        <f aca="false">F35*SQRT(G35)</f>
        <v>1.12583302491977</v>
      </c>
    </row>
    <row r="36" customFormat="false" ht="15" hidden="false" customHeight="false" outlineLevel="0" collapsed="false">
      <c r="C36" s="7" t="n">
        <v>17</v>
      </c>
      <c r="D36" s="7" t="n">
        <v>7</v>
      </c>
      <c r="E36" s="8" t="n">
        <v>-0.21</v>
      </c>
      <c r="F36" s="8" t="n">
        <v>0.13</v>
      </c>
      <c r="G36" s="1" t="n">
        <v>77</v>
      </c>
      <c r="H36" s="0" t="n">
        <f aca="false">F36*SQRT(G36)</f>
        <v>1.14074537036098</v>
      </c>
    </row>
    <row r="37" customFormat="false" ht="15" hidden="false" customHeight="false" outlineLevel="0" collapsed="false">
      <c r="A37" s="1" t="n">
        <v>2003</v>
      </c>
      <c r="B37" s="1" t="s">
        <v>37</v>
      </c>
      <c r="C37" s="7" t="n">
        <v>18</v>
      </c>
      <c r="D37" s="7" t="n">
        <v>1</v>
      </c>
      <c r="E37" s="8" t="n">
        <v>0.68</v>
      </c>
      <c r="F37" s="8" t="n">
        <v>0.18</v>
      </c>
      <c r="G37" s="1" t="n">
        <v>43</v>
      </c>
      <c r="H37" s="0" t="n">
        <f aca="false">F37*SQRT(G37)</f>
        <v>1.18033893437436</v>
      </c>
    </row>
    <row r="38" customFormat="false" ht="15" hidden="false" customHeight="false" outlineLevel="0" collapsed="false">
      <c r="C38" s="7" t="n">
        <v>18</v>
      </c>
      <c r="D38" s="7" t="n">
        <v>7</v>
      </c>
      <c r="E38" s="8" t="n">
        <v>-0.05</v>
      </c>
      <c r="F38" s="8" t="n">
        <v>0.13</v>
      </c>
      <c r="G38" s="1" t="n">
        <v>40</v>
      </c>
      <c r="H38" s="0" t="n">
        <f aca="false">F38*SQRT(G38)</f>
        <v>0.822192191643779</v>
      </c>
    </row>
    <row r="39" customFormat="false" ht="15" hidden="false" customHeight="false" outlineLevel="0" collapsed="false">
      <c r="A39" s="1" t="n">
        <v>2000</v>
      </c>
      <c r="B39" s="1" t="s">
        <v>38</v>
      </c>
      <c r="C39" s="7" t="n">
        <v>19</v>
      </c>
      <c r="D39" s="7" t="n">
        <v>1</v>
      </c>
      <c r="E39" s="8" t="n">
        <v>0.19</v>
      </c>
      <c r="F39" s="8" t="n">
        <v>0.12</v>
      </c>
      <c r="G39" s="1" t="n">
        <v>160</v>
      </c>
      <c r="H39" s="0" t="n">
        <f aca="false">F39*SQRT(G39)</f>
        <v>1.51789327688082</v>
      </c>
    </row>
    <row r="40" customFormat="false" ht="15" hidden="false" customHeight="false" outlineLevel="0" collapsed="false">
      <c r="C40" s="7" t="n">
        <v>19</v>
      </c>
      <c r="D40" s="7" t="n">
        <v>4</v>
      </c>
      <c r="E40" s="8" t="n">
        <v>-0.64</v>
      </c>
      <c r="F40" s="8" t="n">
        <v>0.11</v>
      </c>
      <c r="G40" s="1" t="n">
        <v>168</v>
      </c>
      <c r="H40" s="0" t="n">
        <f aca="false">F40*SQRT(G40)</f>
        <v>1.42576295364973</v>
      </c>
    </row>
    <row r="41" customFormat="false" ht="15" hidden="false" customHeight="false" outlineLevel="0" collapsed="false">
      <c r="A41" s="1" t="n">
        <v>2009</v>
      </c>
      <c r="B41" s="1" t="s">
        <v>39</v>
      </c>
      <c r="C41" s="7" t="n">
        <v>20</v>
      </c>
      <c r="D41" s="7" t="n">
        <v>1</v>
      </c>
      <c r="E41" s="8" t="n">
        <v>0.25</v>
      </c>
      <c r="F41" s="8" t="n">
        <v>0.1</v>
      </c>
      <c r="G41" s="1" t="n">
        <v>86</v>
      </c>
      <c r="H41" s="0" t="n">
        <f aca="false">F41*SQRT(G41)</f>
        <v>0.92736184954957</v>
      </c>
    </row>
    <row r="42" customFormat="false" ht="15" hidden="false" customHeight="false" outlineLevel="0" collapsed="false">
      <c r="C42" s="7" t="n">
        <v>20</v>
      </c>
      <c r="D42" s="7" t="n">
        <v>4</v>
      </c>
      <c r="E42" s="8" t="n">
        <v>-0.67</v>
      </c>
      <c r="F42" s="8" t="n">
        <v>0.09</v>
      </c>
      <c r="G42" s="1" t="n">
        <v>83</v>
      </c>
      <c r="H42" s="0" t="n">
        <f aca="false">F42*SQRT(G42)</f>
        <v>0.819939022122987</v>
      </c>
    </row>
    <row r="43" customFormat="false" ht="15" hidden="false" customHeight="false" outlineLevel="0" collapsed="false">
      <c r="A43" s="1" t="n">
        <v>2008</v>
      </c>
      <c r="B43" s="1" t="s">
        <v>40</v>
      </c>
      <c r="C43" s="7" t="n">
        <v>21</v>
      </c>
      <c r="D43" s="7" t="n">
        <v>4</v>
      </c>
      <c r="E43" s="8" t="n">
        <v>-1</v>
      </c>
      <c r="F43" s="8" t="n">
        <v>0.1</v>
      </c>
      <c r="G43" s="1" t="n">
        <v>281</v>
      </c>
      <c r="H43" s="0" t="n">
        <f aca="false">F43*SQRT(G43)</f>
        <v>1.67630546142402</v>
      </c>
    </row>
    <row r="44" customFormat="false" ht="15" hidden="false" customHeight="false" outlineLevel="0" collapsed="false">
      <c r="C44" s="7" t="n">
        <v>21</v>
      </c>
      <c r="D44" s="7" t="n">
        <v>5</v>
      </c>
      <c r="E44" s="8" t="n">
        <v>-0.9</v>
      </c>
      <c r="F44" s="8" t="n">
        <v>0.1</v>
      </c>
      <c r="G44" s="1" t="n">
        <v>295</v>
      </c>
      <c r="H44" s="0" t="n">
        <f aca="false">F44*SQRT(G44)</f>
        <v>1.71755640373177</v>
      </c>
    </row>
    <row r="45" customFormat="false" ht="15" hidden="false" customHeight="false" outlineLevel="0" collapsed="false">
      <c r="A45" s="1" t="n">
        <v>2010</v>
      </c>
      <c r="B45" s="1" t="s">
        <v>41</v>
      </c>
      <c r="C45" s="7" t="n">
        <v>22</v>
      </c>
      <c r="D45" s="7" t="n">
        <v>4</v>
      </c>
      <c r="E45" s="8" t="n">
        <v>-1.2</v>
      </c>
      <c r="F45" s="8" t="n">
        <v>0.1</v>
      </c>
      <c r="G45" s="1" t="n">
        <v>165</v>
      </c>
      <c r="H45" s="0" t="n">
        <f aca="false">F45*SQRT(G45)</f>
        <v>1.28452325786651</v>
      </c>
    </row>
    <row r="46" customFormat="false" ht="15" hidden="false" customHeight="false" outlineLevel="0" collapsed="false">
      <c r="C46" s="7" t="n">
        <v>22</v>
      </c>
      <c r="D46" s="7" t="n">
        <v>5</v>
      </c>
      <c r="E46" s="8" t="n">
        <v>-0.9</v>
      </c>
      <c r="F46" s="8" t="n">
        <v>0.1</v>
      </c>
      <c r="G46" s="1" t="n">
        <v>166</v>
      </c>
      <c r="H46" s="0" t="n">
        <f aca="false">F46*SQRT(G46)</f>
        <v>1.28840987267251</v>
      </c>
    </row>
    <row r="47" customFormat="false" ht="15" hidden="false" customHeight="false" outlineLevel="0" collapsed="false">
      <c r="C47" s="7" t="n">
        <v>22</v>
      </c>
      <c r="D47" s="7" t="n">
        <v>6</v>
      </c>
      <c r="E47" s="8" t="n">
        <v>-1.5</v>
      </c>
      <c r="F47" s="8" t="n">
        <v>0.08</v>
      </c>
      <c r="G47" s="1" t="n">
        <v>160</v>
      </c>
      <c r="H47" s="0" t="n">
        <f aca="false">F47*SQRT(G47)</f>
        <v>1.01192885125388</v>
      </c>
    </row>
    <row r="48" customFormat="false" ht="15" hidden="false" customHeight="false" outlineLevel="0" collapsed="false">
      <c r="A48" s="1" t="n">
        <v>2004</v>
      </c>
      <c r="B48" s="1" t="s">
        <v>42</v>
      </c>
      <c r="C48" s="7" t="n">
        <v>23</v>
      </c>
      <c r="D48" s="7" t="n">
        <v>1</v>
      </c>
      <c r="E48" s="8" t="n">
        <v>0.1</v>
      </c>
      <c r="F48" s="8" t="n">
        <v>0.1</v>
      </c>
      <c r="G48" s="1" t="n">
        <v>51</v>
      </c>
      <c r="H48" s="0" t="n">
        <f aca="false">F48*SQRT(G48)</f>
        <v>0.714142842854285</v>
      </c>
    </row>
    <row r="49" customFormat="false" ht="15" hidden="false" customHeight="false" outlineLevel="0" collapsed="false">
      <c r="C49" s="7" t="n">
        <v>23</v>
      </c>
      <c r="D49" s="7" t="n">
        <v>5</v>
      </c>
      <c r="E49" s="8" t="n">
        <v>-0.6</v>
      </c>
      <c r="F49" s="8" t="n">
        <v>0.1</v>
      </c>
      <c r="G49" s="1" t="n">
        <v>56</v>
      </c>
      <c r="H49" s="0" t="n">
        <f aca="false">F49*SQRT(G49)</f>
        <v>0.748331477354788</v>
      </c>
    </row>
    <row r="50" customFormat="false" ht="15" hidden="false" customHeight="false" outlineLevel="0" collapsed="false">
      <c r="A50" s="1" t="n">
        <v>2006</v>
      </c>
      <c r="B50" s="1" t="s">
        <v>43</v>
      </c>
      <c r="C50" s="7" t="n">
        <v>24</v>
      </c>
      <c r="D50" s="7" t="n">
        <v>1</v>
      </c>
      <c r="E50" s="8" t="n">
        <v>-0.02</v>
      </c>
      <c r="F50" s="8" t="n">
        <v>0.06</v>
      </c>
      <c r="G50" s="1" t="n">
        <v>237</v>
      </c>
      <c r="H50" s="0" t="n">
        <f aca="false">F50*SQRT(G50)</f>
        <v>0.923688259100439</v>
      </c>
    </row>
    <row r="51" customFormat="false" ht="15" hidden="false" customHeight="false" outlineLevel="0" collapsed="false">
      <c r="C51" s="7" t="n">
        <v>24</v>
      </c>
      <c r="D51" s="7" t="n">
        <v>5</v>
      </c>
      <c r="E51" s="8" t="n">
        <v>-0.67</v>
      </c>
      <c r="F51" s="8" t="n">
        <v>0.05</v>
      </c>
      <c r="G51" s="1" t="n">
        <v>464</v>
      </c>
      <c r="H51" s="0" t="n">
        <f aca="false">F51*SQRT(G51)</f>
        <v>1.0770329614269</v>
      </c>
    </row>
    <row r="52" customFormat="false" ht="15" hidden="false" customHeight="false" outlineLevel="0" collapsed="false">
      <c r="A52" s="1" t="n">
        <v>2007</v>
      </c>
      <c r="B52" s="1" t="s">
        <v>44</v>
      </c>
      <c r="C52" s="7" t="n">
        <v>25</v>
      </c>
      <c r="D52" s="7" t="n">
        <v>1</v>
      </c>
      <c r="E52" s="8" t="n">
        <v>0.2</v>
      </c>
      <c r="F52" s="8" t="n">
        <v>0.1</v>
      </c>
      <c r="G52" s="1" t="n">
        <v>130</v>
      </c>
      <c r="H52" s="0" t="n">
        <f aca="false">F52*SQRT(G52)</f>
        <v>1.14017542509914</v>
      </c>
    </row>
    <row r="53" customFormat="false" ht="15" hidden="false" customHeight="false" outlineLevel="0" collapsed="false">
      <c r="C53" s="7" t="n">
        <v>25</v>
      </c>
      <c r="D53" s="7" t="n">
        <v>5</v>
      </c>
      <c r="E53" s="8" t="n">
        <v>-0.9</v>
      </c>
      <c r="F53" s="8" t="n">
        <v>0.1</v>
      </c>
      <c r="G53" s="1" t="n">
        <v>143</v>
      </c>
      <c r="H53" s="0" t="n">
        <f aca="false">F53*SQRT(G53)</f>
        <v>1.19582607431014</v>
      </c>
    </row>
    <row r="54" customFormat="false" ht="15" hidden="false" customHeight="false" outlineLevel="0" collapsed="false">
      <c r="A54" s="1" t="n">
        <v>2008</v>
      </c>
      <c r="B54" s="1" t="s">
        <v>45</v>
      </c>
      <c r="C54" s="7" t="n">
        <v>26</v>
      </c>
      <c r="D54" s="7" t="n">
        <v>1</v>
      </c>
      <c r="E54" s="8" t="n">
        <v>-0.22</v>
      </c>
      <c r="F54" s="8" t="n">
        <v>0.07</v>
      </c>
      <c r="G54" s="1" t="n">
        <v>92</v>
      </c>
      <c r="H54" s="0" t="n">
        <f aca="false">F54*SQRT(G54)</f>
        <v>0.671416413263781</v>
      </c>
    </row>
    <row r="55" customFormat="false" ht="15" hidden="false" customHeight="false" outlineLevel="0" collapsed="false">
      <c r="C55" s="7" t="n">
        <v>26</v>
      </c>
      <c r="D55" s="7" t="n">
        <v>5</v>
      </c>
      <c r="E55" s="8" t="n">
        <v>-0.73</v>
      </c>
      <c r="F55" s="8" t="n">
        <v>0.07</v>
      </c>
      <c r="G55" s="1" t="n">
        <v>94</v>
      </c>
      <c r="H55" s="0" t="n">
        <f aca="false">F55*SQRT(G55)</f>
        <v>0.678675180038286</v>
      </c>
    </row>
    <row r="56" customFormat="false" ht="15" hidden="false" customHeight="false" outlineLevel="0" collapsed="false">
      <c r="A56" s="1" t="n">
        <v>2008</v>
      </c>
      <c r="B56" s="1" t="s">
        <v>46</v>
      </c>
      <c r="C56" s="7" t="n">
        <v>27</v>
      </c>
      <c r="D56" s="7" t="n">
        <v>1</v>
      </c>
      <c r="E56" s="8" t="n">
        <v>0</v>
      </c>
      <c r="F56" s="8" t="n">
        <v>0.13</v>
      </c>
      <c r="G56" s="1" t="n">
        <v>94</v>
      </c>
      <c r="H56" s="0" t="n">
        <f aca="false">F56*SQRT(G56)</f>
        <v>1.26039676292825</v>
      </c>
    </row>
    <row r="57" customFormat="false" ht="15" hidden="false" customHeight="false" outlineLevel="0" collapsed="false">
      <c r="C57" s="7" t="n">
        <v>27</v>
      </c>
      <c r="D57" s="7" t="n">
        <v>5</v>
      </c>
      <c r="E57" s="8" t="n">
        <v>-1</v>
      </c>
      <c r="F57" s="8" t="n">
        <v>0.13</v>
      </c>
      <c r="G57" s="1" t="n">
        <v>96</v>
      </c>
      <c r="H57" s="0" t="n">
        <f aca="false">F57*SQRT(G57)</f>
        <v>1.27373466624725</v>
      </c>
    </row>
    <row r="58" customFormat="false" ht="15" hidden="false" customHeight="false" outlineLevel="0" collapsed="false">
      <c r="A58" s="1" t="n">
        <v>2009</v>
      </c>
      <c r="B58" s="1" t="s">
        <v>47</v>
      </c>
      <c r="C58" s="7" t="n">
        <v>28</v>
      </c>
      <c r="D58" s="7" t="n">
        <v>1</v>
      </c>
      <c r="E58" s="8" t="n">
        <v>0.17</v>
      </c>
      <c r="F58" s="8" t="n">
        <v>0.11</v>
      </c>
      <c r="G58" s="1" t="n">
        <v>122</v>
      </c>
      <c r="H58" s="0" t="n">
        <f aca="false">F58*SQRT(G58)</f>
        <v>1.2149897118906</v>
      </c>
    </row>
    <row r="59" customFormat="false" ht="15" hidden="false" customHeight="false" outlineLevel="0" collapsed="false">
      <c r="C59" s="7" t="n">
        <v>28</v>
      </c>
      <c r="D59" s="7" t="n">
        <v>5</v>
      </c>
      <c r="E59" s="8" t="n">
        <v>-0.66</v>
      </c>
      <c r="F59" s="8" t="n">
        <v>0.11</v>
      </c>
      <c r="G59" s="1" t="n">
        <v>125</v>
      </c>
      <c r="H59" s="0" t="n">
        <f aca="false">F59*SQRT(G59)</f>
        <v>1.22983738762488</v>
      </c>
    </row>
    <row r="60" customFormat="false" ht="15" hidden="false" customHeight="false" outlineLevel="0" collapsed="false">
      <c r="A60" s="1" t="s">
        <v>48</v>
      </c>
      <c r="B60" s="1" t="s">
        <v>22</v>
      </c>
      <c r="C60" s="7" t="n">
        <v>29</v>
      </c>
      <c r="D60" s="7" t="n">
        <v>1</v>
      </c>
      <c r="E60" s="8" t="n">
        <v>-0.1</v>
      </c>
      <c r="F60" s="8" t="n">
        <v>0.1</v>
      </c>
      <c r="G60" s="1" t="n">
        <v>104</v>
      </c>
      <c r="H60" s="0" t="n">
        <f aca="false">F60*SQRT(G60)</f>
        <v>1.01980390271856</v>
      </c>
    </row>
    <row r="61" customFormat="false" ht="15" hidden="false" customHeight="false" outlineLevel="0" collapsed="false">
      <c r="C61" s="7" t="n">
        <v>29</v>
      </c>
      <c r="D61" s="7" t="n">
        <v>5</v>
      </c>
      <c r="E61" s="8" t="n">
        <v>-0.6</v>
      </c>
      <c r="F61" s="8" t="n">
        <v>0.1</v>
      </c>
      <c r="G61" s="1" t="n">
        <v>213</v>
      </c>
      <c r="H61" s="0" t="n">
        <f aca="false">F61*SQRT(G61)</f>
        <v>1.45945195193264</v>
      </c>
    </row>
    <row r="62" customFormat="false" ht="15" hidden="false" customHeight="false" outlineLevel="0" collapsed="false">
      <c r="A62" s="1" t="n">
        <v>2009</v>
      </c>
      <c r="B62" s="1" t="s">
        <v>49</v>
      </c>
      <c r="C62" s="7" t="n">
        <v>30</v>
      </c>
      <c r="D62" s="7" t="n">
        <v>1</v>
      </c>
      <c r="E62" s="8" t="n">
        <v>0.13</v>
      </c>
      <c r="F62" s="8" t="n">
        <v>0.07</v>
      </c>
      <c r="G62" s="1" t="n">
        <v>179</v>
      </c>
      <c r="H62" s="0" t="n">
        <f aca="false">F62*SQRT(G62)</f>
        <v>0.936536171218176</v>
      </c>
    </row>
    <row r="63" customFormat="false" ht="15" hidden="false" customHeight="false" outlineLevel="0" collapsed="false">
      <c r="C63" s="7" t="n">
        <v>30</v>
      </c>
      <c r="D63" s="7" t="n">
        <v>5</v>
      </c>
      <c r="E63" s="8" t="n">
        <v>-0.69</v>
      </c>
      <c r="F63" s="8" t="n">
        <v>0.07</v>
      </c>
      <c r="G63" s="1" t="n">
        <v>191</v>
      </c>
      <c r="H63" s="0" t="n">
        <f aca="false">F63*SQRT(G63)</f>
        <v>0.967419247275968</v>
      </c>
    </row>
    <row r="64" customFormat="false" ht="15" hidden="false" customHeight="false" outlineLevel="0" collapsed="false">
      <c r="A64" s="1" t="n">
        <v>2010</v>
      </c>
      <c r="B64" s="1" t="s">
        <v>50</v>
      </c>
      <c r="C64" s="7" t="n">
        <v>31</v>
      </c>
      <c r="D64" s="7" t="n">
        <v>1</v>
      </c>
      <c r="E64" s="8" t="n">
        <v>0.24</v>
      </c>
      <c r="F64" s="8" t="n">
        <v>0.09</v>
      </c>
      <c r="G64" s="1" t="n">
        <v>71</v>
      </c>
      <c r="H64" s="0" t="n">
        <f aca="false">F64*SQRT(G64)</f>
        <v>0.758353479585872</v>
      </c>
    </row>
    <row r="65" customFormat="false" ht="15" hidden="false" customHeight="false" outlineLevel="0" collapsed="false">
      <c r="C65" s="7" t="n">
        <v>31</v>
      </c>
      <c r="D65" s="7" t="n">
        <v>5</v>
      </c>
      <c r="E65" s="8" t="n">
        <v>-0.5</v>
      </c>
      <c r="F65" s="8" t="n">
        <v>0.1</v>
      </c>
      <c r="G65" s="1" t="n">
        <v>66</v>
      </c>
      <c r="H65" s="0" t="n">
        <f aca="false">F65*SQRT(G65)</f>
        <v>0.812403840463596</v>
      </c>
    </row>
    <row r="66" customFormat="false" ht="15" hidden="false" customHeight="false" outlineLevel="0" collapsed="false">
      <c r="A66" s="1" t="n">
        <v>2011</v>
      </c>
      <c r="B66" s="1" t="s">
        <v>51</v>
      </c>
      <c r="C66" s="7" t="n">
        <v>32</v>
      </c>
      <c r="D66" s="7" t="n">
        <v>1</v>
      </c>
      <c r="E66" s="8" t="n">
        <v>0.15</v>
      </c>
      <c r="F66" s="8" t="n">
        <v>0.06</v>
      </c>
      <c r="G66" s="1" t="n">
        <v>177</v>
      </c>
      <c r="H66" s="0" t="n">
        <f aca="false">F66*SQRT(G66)</f>
        <v>0.798248081739004</v>
      </c>
    </row>
    <row r="67" customFormat="false" ht="15" hidden="false" customHeight="false" outlineLevel="0" collapsed="false">
      <c r="C67" s="7" t="n">
        <v>32</v>
      </c>
      <c r="D67" s="7" t="n">
        <v>5</v>
      </c>
      <c r="E67" s="8" t="n">
        <v>-0.49</v>
      </c>
      <c r="F67" s="8" t="n">
        <v>0.04</v>
      </c>
      <c r="G67" s="1" t="n">
        <v>523</v>
      </c>
      <c r="H67" s="0" t="n">
        <f aca="false">F67*SQRT(G67)</f>
        <v>0.914767730082342</v>
      </c>
    </row>
    <row r="68" customFormat="false" ht="15" hidden="false" customHeight="false" outlineLevel="0" collapsed="false">
      <c r="A68" s="1" t="n">
        <v>2010</v>
      </c>
      <c r="B68" s="1" t="s">
        <v>52</v>
      </c>
      <c r="C68" s="7" t="n">
        <v>33</v>
      </c>
      <c r="D68" s="7" t="n">
        <v>5</v>
      </c>
      <c r="E68" s="8" t="n">
        <v>-0.9</v>
      </c>
      <c r="F68" s="8" t="n">
        <v>0.07</v>
      </c>
      <c r="G68" s="1" t="n">
        <v>219</v>
      </c>
      <c r="H68" s="0" t="n">
        <f aca="false">F68*SQRT(G68)</f>
        <v>1.03590540108641</v>
      </c>
    </row>
    <row r="69" customFormat="false" ht="15" hidden="false" customHeight="false" outlineLevel="0" collapsed="false">
      <c r="C69" s="7" t="n">
        <v>33</v>
      </c>
      <c r="D69" s="7" t="n">
        <v>6</v>
      </c>
      <c r="E69" s="8" t="n">
        <v>-1.5</v>
      </c>
      <c r="F69" s="8" t="n">
        <v>0.07</v>
      </c>
      <c r="G69" s="1" t="n">
        <v>221</v>
      </c>
      <c r="H69" s="0" t="n">
        <f aca="false">F69*SQRT(G69)</f>
        <v>1.0406248123123</v>
      </c>
    </row>
    <row r="70" customFormat="false" ht="15" hidden="false" customHeight="false" outlineLevel="0" collapsed="false">
      <c r="A70" s="1" t="n">
        <v>2005</v>
      </c>
      <c r="B70" s="1" t="s">
        <v>49</v>
      </c>
      <c r="C70" s="7" t="n">
        <v>34</v>
      </c>
      <c r="D70" s="7" t="n">
        <v>1</v>
      </c>
      <c r="E70" s="8" t="n">
        <v>0.1</v>
      </c>
      <c r="F70" s="8" t="n">
        <v>0.1</v>
      </c>
      <c r="G70" s="1" t="n">
        <v>113</v>
      </c>
      <c r="H70" s="0" t="n">
        <f aca="false">F70*SQRT(G70)</f>
        <v>1.06301458127347</v>
      </c>
    </row>
    <row r="71" customFormat="false" ht="15" hidden="false" customHeight="false" outlineLevel="0" collapsed="false">
      <c r="C71" s="7" t="n">
        <v>34</v>
      </c>
      <c r="D71" s="7" t="n">
        <v>6</v>
      </c>
      <c r="E71" s="8" t="n">
        <v>-0.8</v>
      </c>
      <c r="F71" s="8" t="n">
        <v>0.1</v>
      </c>
      <c r="G71" s="1" t="n">
        <v>113</v>
      </c>
      <c r="H71" s="0" t="n">
        <f aca="false">F71*SQRT(G71)</f>
        <v>1.06301458127347</v>
      </c>
    </row>
    <row r="72" customFormat="false" ht="15" hidden="false" customHeight="false" outlineLevel="0" collapsed="false">
      <c r="A72" s="1" t="n">
        <v>2007</v>
      </c>
      <c r="B72" s="1" t="s">
        <v>53</v>
      </c>
      <c r="C72" s="7" t="n">
        <v>35</v>
      </c>
      <c r="D72" s="7" t="n">
        <v>8</v>
      </c>
      <c r="E72" s="8" t="n">
        <v>-1.43</v>
      </c>
      <c r="F72" s="8" t="n">
        <v>0.13</v>
      </c>
      <c r="G72" s="1" t="n">
        <v>76</v>
      </c>
      <c r="H72" s="0" t="n">
        <f aca="false">F72*SQRT(G72)</f>
        <v>1.13331372532058</v>
      </c>
    </row>
    <row r="73" customFormat="false" ht="15" hidden="false" customHeight="false" outlineLevel="0" collapsed="false">
      <c r="C73" s="7" t="n">
        <v>35</v>
      </c>
      <c r="D73" s="7" t="n">
        <v>6</v>
      </c>
      <c r="E73" s="8" t="n">
        <v>-1.39</v>
      </c>
      <c r="F73" s="8" t="n">
        <v>0.12</v>
      </c>
      <c r="G73" s="1" t="n">
        <v>76</v>
      </c>
      <c r="H73" s="0" t="n">
        <f aca="false">F73*SQRT(G73)</f>
        <v>1.04613574644976</v>
      </c>
    </row>
    <row r="74" customFormat="false" ht="15" hidden="false" customHeight="false" outlineLevel="0" collapsed="false">
      <c r="A74" s="1" t="n">
        <v>2009</v>
      </c>
      <c r="B74" s="1" t="s">
        <v>54</v>
      </c>
      <c r="C74" s="7" t="n">
        <v>36</v>
      </c>
      <c r="D74" s="7" t="n">
        <v>8</v>
      </c>
      <c r="E74" s="8" t="n">
        <v>-0.7</v>
      </c>
      <c r="F74" s="8" t="n">
        <v>0.2</v>
      </c>
      <c r="G74" s="1" t="n">
        <v>33</v>
      </c>
      <c r="H74" s="0" t="n">
        <f aca="false">F74*SQRT(G74)</f>
        <v>1.14891252930761</v>
      </c>
    </row>
    <row r="75" customFormat="false" ht="15" hidden="false" customHeight="false" outlineLevel="0" collapsed="false">
      <c r="C75" s="7" t="n">
        <v>36</v>
      </c>
      <c r="D75" s="7" t="n">
        <v>6</v>
      </c>
      <c r="E75" s="8" t="n">
        <v>-0.8</v>
      </c>
      <c r="F75" s="8" t="n">
        <v>0.1</v>
      </c>
      <c r="G75" s="1" t="n">
        <v>36</v>
      </c>
      <c r="H75" s="0" t="n">
        <f aca="false">F75*SQRT(G75)</f>
        <v>0.6</v>
      </c>
    </row>
    <row r="76" customFormat="false" ht="15" hidden="false" customHeight="false" outlineLevel="0" collapsed="false">
      <c r="A76" s="1" t="n">
        <v>2007</v>
      </c>
      <c r="B76" s="1" t="s">
        <v>55</v>
      </c>
      <c r="C76" s="7" t="n">
        <v>37</v>
      </c>
      <c r="D76" s="7" t="n">
        <v>9</v>
      </c>
      <c r="E76" s="8" t="n">
        <v>-2.89</v>
      </c>
      <c r="F76" s="8" t="n">
        <v>0.15</v>
      </c>
      <c r="G76" s="1" t="n">
        <v>79</v>
      </c>
      <c r="H76" s="0" t="n">
        <f aca="false">F76*SQRT(G76)</f>
        <v>1.33322916259734</v>
      </c>
    </row>
    <row r="77" customFormat="false" ht="15" hidden="false" customHeight="false" outlineLevel="0" collapsed="false">
      <c r="C77" s="7" t="n">
        <v>37</v>
      </c>
      <c r="D77" s="7" t="n">
        <v>8</v>
      </c>
      <c r="E77" s="8" t="n">
        <v>-2.46</v>
      </c>
      <c r="F77" s="8" t="n">
        <v>0.14</v>
      </c>
      <c r="G77" s="1" t="n">
        <v>78</v>
      </c>
      <c r="H77" s="0" t="n">
        <f aca="false">F77*SQRT(G77)</f>
        <v>1.2364465212859</v>
      </c>
    </row>
    <row r="78" customFormat="false" ht="15" hidden="false" customHeight="false" outlineLevel="0" collapsed="false">
      <c r="A78" s="1" t="s">
        <v>56</v>
      </c>
      <c r="B78" s="1" t="s">
        <v>30</v>
      </c>
      <c r="C78" s="7" t="n">
        <v>38</v>
      </c>
      <c r="D78" s="7" t="n">
        <v>1</v>
      </c>
      <c r="E78" s="8" t="n">
        <v>-0.37</v>
      </c>
      <c r="F78" s="8" t="n">
        <v>0.1</v>
      </c>
      <c r="G78" s="1" t="n">
        <v>287</v>
      </c>
      <c r="H78" s="0" t="n">
        <f aca="false">F78*SQRT(G78)</f>
        <v>1.69410743460974</v>
      </c>
    </row>
    <row r="79" customFormat="false" ht="15" hidden="false" customHeight="false" outlineLevel="0" collapsed="false">
      <c r="C79" s="7" t="n">
        <v>38</v>
      </c>
      <c r="D79" s="7" t="n">
        <v>5</v>
      </c>
      <c r="E79" s="8" t="n">
        <v>-0.78</v>
      </c>
      <c r="F79" s="8" t="n">
        <v>0.1</v>
      </c>
      <c r="G79" s="1" t="n">
        <v>283</v>
      </c>
      <c r="H79" s="0" t="n">
        <f aca="false">F79*SQRT(G79)</f>
        <v>1.68226038412607</v>
      </c>
    </row>
    <row r="80" customFormat="false" ht="15" hidden="false" customHeight="false" outlineLevel="0" collapsed="false">
      <c r="A80" s="1" t="n">
        <v>2011</v>
      </c>
      <c r="B80" s="1" t="s">
        <v>57</v>
      </c>
      <c r="C80" s="7" t="n">
        <v>39</v>
      </c>
      <c r="D80" s="7" t="n">
        <v>2</v>
      </c>
      <c r="E80" s="8" t="n">
        <v>-1.3</v>
      </c>
      <c r="F80" s="8" t="n">
        <v>0.14</v>
      </c>
      <c r="G80" s="10" t="n">
        <v>54</v>
      </c>
      <c r="H80" s="11" t="n">
        <f aca="false">F80*SQRT(G80)</f>
        <v>1.02878569196893</v>
      </c>
    </row>
    <row r="81" customFormat="false" ht="15" hidden="false" customHeight="false" outlineLevel="0" collapsed="false">
      <c r="C81" s="7" t="n">
        <v>39</v>
      </c>
      <c r="D81" s="7" t="n">
        <v>6</v>
      </c>
      <c r="E81" s="8" t="n">
        <v>-1.2</v>
      </c>
      <c r="F81" s="8" t="n">
        <v>0.14</v>
      </c>
      <c r="G81" s="10" t="n">
        <v>57</v>
      </c>
      <c r="H81" s="11" t="n">
        <f aca="false">F81*SQRT(G81)</f>
        <v>1.05697682093791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9.14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9.14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8D803A-EEA8-4170-9ADC-7D25003C9981}"/>
</file>

<file path=customXml/itemProps2.xml><?xml version="1.0" encoding="utf-8"?>
<ds:datastoreItem xmlns:ds="http://schemas.openxmlformats.org/officeDocument/2006/customXml" ds:itemID="{B09A7EB6-F08C-486D-B811-1C5D59F5B1CC}"/>
</file>

<file path=customXml/itemProps3.xml><?xml version="1.0" encoding="utf-8"?>
<ds:datastoreItem xmlns:ds="http://schemas.openxmlformats.org/officeDocument/2006/customXml" ds:itemID="{F473FD29-2110-4BAA-9337-F3413E7914B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Theodore Papakonstantinou</cp:lastModifiedBy>
  <cp:revision>1</cp:revision>
  <dcterms:created xsi:type="dcterms:W3CDTF">2006-09-16T00:00:00Z</dcterms:created>
  <dcterms:modified xsi:type="dcterms:W3CDTF">2019-05-01T12:09:55Z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