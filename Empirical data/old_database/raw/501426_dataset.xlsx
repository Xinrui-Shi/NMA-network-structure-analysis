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<sst xmlns="http://schemas.openxmlformats.org/spreadsheetml/2006/main" count="111" uniqueCount="94">
  <si>
    <t xml:space="preserve">study year</t>
  </si>
  <si>
    <t xml:space="preserve">Study (name)</t>
  </si>
  <si>
    <t xml:space="preserve">id</t>
  </si>
  <si>
    <t xml:space="preserve">t1</t>
  </si>
  <si>
    <t xml:space="preserve">t2</t>
  </si>
  <si>
    <t xml:space="preserve">effect</t>
  </si>
  <si>
    <t xml:space="preserve">se</t>
  </si>
  <si>
    <t xml:space="preserve">Baneficial</t>
  </si>
  <si>
    <r>
      <rPr>
        <b val="true"/>
        <sz val="11"/>
        <color rgb="FF000000"/>
        <rFont val="Calibri"/>
        <family val="2"/>
        <charset val="161"/>
      </rPr>
      <t xml:space="preserve">Outcome: </t>
    </r>
    <r>
      <rPr>
        <sz val="11"/>
        <color rgb="FF000000"/>
        <rFont val="Calibri"/>
        <family val="2"/>
        <charset val="161"/>
      </rPr>
      <t xml:space="preserve">efficacy for dendritic or geographic HSV epithelial keratitis (proportions healed)</t>
    </r>
  </si>
  <si>
    <t xml:space="preserve">Burns 1963</t>
  </si>
  <si>
    <t xml:space="preserve">Treatments</t>
  </si>
  <si>
    <t xml:space="preserve">Placebo</t>
  </si>
  <si>
    <t xml:space="preserve">Luntz 1963</t>
  </si>
  <si>
    <t xml:space="preserve">Idoxuridine</t>
  </si>
  <si>
    <t xml:space="preserve">effect=ln(OR)</t>
  </si>
  <si>
    <t xml:space="preserve">Patterson 1963</t>
  </si>
  <si>
    <t xml:space="preserve">Vidarabine</t>
  </si>
  <si>
    <t xml:space="preserve">Jepson 1964</t>
  </si>
  <si>
    <t xml:space="preserve">Trifluridine</t>
  </si>
  <si>
    <t xml:space="preserve">Laibson 1964</t>
  </si>
  <si>
    <t xml:space="preserve">Acyclovir</t>
  </si>
  <si>
    <t xml:space="preserve">Davidson 1964</t>
  </si>
  <si>
    <t xml:space="preserve">Ganciclovir</t>
  </si>
  <si>
    <t xml:space="preserve">Interferon-alpha</t>
  </si>
  <si>
    <t xml:space="preserve">Interferon-beta</t>
  </si>
  <si>
    <t xml:space="preserve">Bromovinyldeoxyuridine</t>
  </si>
  <si>
    <t xml:space="preserve">Iododeoxycytidine</t>
  </si>
  <si>
    <t xml:space="preserve">Gamma globulin</t>
  </si>
  <si>
    <t xml:space="preserve">Hart 1965</t>
  </si>
  <si>
    <t xml:space="preserve">Low-dose interferon</t>
  </si>
  <si>
    <t xml:space="preserve">Markham 1977</t>
  </si>
  <si>
    <t xml:space="preserve">Wiping debridement</t>
  </si>
  <si>
    <t xml:space="preserve">Iodinization</t>
  </si>
  <si>
    <t xml:space="preserve">Oral Acyclovir</t>
  </si>
  <si>
    <t xml:space="preserve">Pavan-Langston 1976</t>
  </si>
  <si>
    <t xml:space="preserve">Oral Isoprinosine</t>
  </si>
  <si>
    <t xml:space="preserve">Blake 1977</t>
  </si>
  <si>
    <t xml:space="preserve">Carbolization</t>
  </si>
  <si>
    <t xml:space="preserve">Wellings 1972</t>
  </si>
  <si>
    <t xml:space="preserve">Cryotherapy or carbolization</t>
  </si>
  <si>
    <t xml:space="preserve">Sugar 1980</t>
  </si>
  <si>
    <t xml:space="preserve">Thermo-mechanical debridement</t>
  </si>
  <si>
    <t xml:space="preserve">Coster 1976</t>
  </si>
  <si>
    <t xml:space="preserve">Ultraviolet light</t>
  </si>
  <si>
    <t xml:space="preserve">Travers 1978</t>
  </si>
  <si>
    <t xml:space="preserve">Poly IC</t>
  </si>
  <si>
    <t xml:space="preserve">van Bijsterveld 1980</t>
  </si>
  <si>
    <t xml:space="preserve">Idoxuridine/Oxyphenbutazone</t>
  </si>
  <si>
    <t xml:space="preserve">Power 1991</t>
  </si>
  <si>
    <t xml:space="preserve">Acyclovir/Vidarabine</t>
  </si>
  <si>
    <t xml:space="preserve">Collum 1980</t>
  </si>
  <si>
    <t xml:space="preserve">Trifluridine/Oral Acyclovir</t>
  </si>
  <si>
    <t xml:space="preserve">Coster 1980</t>
  </si>
  <si>
    <t xml:space="preserve">Colin 1981</t>
  </si>
  <si>
    <t xml:space="preserve">Klauber 1982</t>
  </si>
  <si>
    <t xml:space="preserve">McCulley 1982</t>
  </si>
  <si>
    <t xml:space="preserve">Abe 1987</t>
  </si>
  <si>
    <t xml:space="preserve">Altinisik 1987</t>
  </si>
  <si>
    <t xml:space="preserve">Colin 1984</t>
  </si>
  <si>
    <t xml:space="preserve">Pavan-Langston 1981</t>
  </si>
  <si>
    <t xml:space="preserve">Yeakley 1981</t>
  </si>
  <si>
    <t xml:space="preserve">Young 1982</t>
  </si>
  <si>
    <t xml:space="preserve">Denis 1983</t>
  </si>
  <si>
    <t xml:space="preserve">Jackson 1984</t>
  </si>
  <si>
    <t xml:space="preserve">La Lau 1982</t>
  </si>
  <si>
    <t xml:space="preserve">Hoang-Xuan 1984</t>
  </si>
  <si>
    <t xml:space="preserve">Hovding 1989</t>
  </si>
  <si>
    <t xml:space="preserve">Hoh 1996</t>
  </si>
  <si>
    <t xml:space="preserve">Colin 1987</t>
  </si>
  <si>
    <t xml:space="preserve">Colin 1997</t>
  </si>
  <si>
    <t xml:space="preserve">Sundmacher 1976</t>
  </si>
  <si>
    <t xml:space="preserve">Patterson 1967</t>
  </si>
  <si>
    <t xml:space="preserve">Fulhorst 1972</t>
  </si>
  <si>
    <t xml:space="preserve">Kato 1979</t>
  </si>
  <si>
    <t xml:space="preserve">Parlato 1985</t>
  </si>
  <si>
    <t xml:space="preserve">Uchida 1981</t>
  </si>
  <si>
    <t xml:space="preserve">Hung 1984</t>
  </si>
  <si>
    <t xml:space="preserve">Daniel 1972</t>
  </si>
  <si>
    <t xml:space="preserve">Wilhelmus 1981</t>
  </si>
  <si>
    <t xml:space="preserve">Jensen 1982</t>
  </si>
  <si>
    <t xml:space="preserve">Richter 1986</t>
  </si>
  <si>
    <t xml:space="preserve">Yamazaki 1984</t>
  </si>
  <si>
    <t xml:space="preserve">Sundmacher 1981</t>
  </si>
  <si>
    <t xml:space="preserve">de Koning 1982</t>
  </si>
  <si>
    <t xml:space="preserve">Colin 1983</t>
  </si>
  <si>
    <t xml:space="preserve">Meurs 1985</t>
  </si>
  <si>
    <t xml:space="preserve">van Bijsterveld 1989</t>
  </si>
  <si>
    <t xml:space="preserve">Kitano 1983</t>
  </si>
  <si>
    <t xml:space="preserve">Vannini 1986</t>
  </si>
  <si>
    <t xml:space="preserve">Guerra 1979</t>
  </si>
  <si>
    <t xml:space="preserve">Norn 1973</t>
  </si>
  <si>
    <t xml:space="preserve">HEDS Group 1997</t>
  </si>
  <si>
    <t xml:space="preserve">Collum 1986</t>
  </si>
  <si>
    <t xml:space="preserve">Haut 1983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</si>
</sst>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1"/>
      <color rgb="FF000000"/>
      <name val="Calibri"/>
      <family val="2"/>
      <charset val="16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61"/>
    </font>
    <font>
      <sz val="10"/>
      <color rgb="FF000000"/>
      <name val="Verdana"/>
      <family val="2"/>
      <charset val="16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2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7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F2" activeCellId="0" sqref="F2"/>
    </sheetView>
  </sheetViews>
  <sheetFormatPr defaultRowHeight="15" zeroHeight="false" outlineLevelRow="0" outlineLevelCol="0"/>
  <cols>
    <col collapsed="false" customWidth="true" hidden="false" outlineLevel="0" max="1" min="1" style="0" width="9.14"/>
    <col collapsed="false" customWidth="true" hidden="false" outlineLevel="0" max="2" min="2" style="1" width="22.01"/>
    <col collapsed="false" customWidth="true" hidden="false" outlineLevel="0" max="3" min="3" style="1" width="8.29"/>
    <col collapsed="false" customWidth="true" hidden="false" outlineLevel="0" max="5" min="4" style="1" width="11.71"/>
    <col collapsed="false" customWidth="true" hidden="false" outlineLevel="0" max="6" min="6" style="2" width="13.57"/>
    <col collapsed="false" customWidth="false" hidden="false" outlineLevel="0" max="7" min="7" style="2" width="11.42"/>
    <col collapsed="false" customWidth="true" hidden="false" outlineLevel="0" max="8" min="8" style="0" width="10.14"/>
    <col collapsed="false" customWidth="true" hidden="false" outlineLevel="0" max="9" min="9" style="0" width="10"/>
    <col collapsed="false" customWidth="true" hidden="false" outlineLevel="0" max="10" min="10" style="0" width="9.14"/>
    <col collapsed="false" customWidth="true" hidden="false" outlineLevel="0" max="11" min="11" style="0" width="7.29"/>
    <col collapsed="false" customWidth="true" hidden="false" outlineLevel="0" max="16" min="12" style="0" width="9.14"/>
    <col collapsed="false" customWidth="true" hidden="false" outlineLevel="0" max="17" min="17" style="0" width="19.29"/>
    <col collapsed="false" customWidth="true" hidden="false" outlineLevel="0" max="1025" min="18" style="0" width="9.14"/>
  </cols>
  <sheetData>
    <row r="1" s="3" customFormat="true" ht="15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I1" s="3" t="s">
        <v>7</v>
      </c>
      <c r="J1" s="3" t="s">
        <v>8</v>
      </c>
      <c r="L1" s="6"/>
    </row>
    <row r="2" s="1" customFormat="true" ht="15" hidden="false" customHeight="false" outlineLevel="0" collapsed="false">
      <c r="A2" s="1" t="n">
        <v>1963</v>
      </c>
      <c r="B2" s="7" t="s">
        <v>9</v>
      </c>
      <c r="C2" s="1" t="n">
        <v>1</v>
      </c>
      <c r="D2" s="1" t="n">
        <v>1</v>
      </c>
      <c r="E2" s="8" t="n">
        <v>2</v>
      </c>
      <c r="F2" s="1" t="n">
        <v>1.43031124653667</v>
      </c>
      <c r="G2" s="1" t="n">
        <v>0.870544989934355</v>
      </c>
      <c r="J2" s="9" t="s">
        <v>10</v>
      </c>
      <c r="K2" s="9"/>
      <c r="L2" s="1" t="n">
        <v>1</v>
      </c>
      <c r="M2" s="1" t="s">
        <v>11</v>
      </c>
    </row>
    <row r="3" s="1" customFormat="true" ht="15" hidden="false" customHeight="false" outlineLevel="0" collapsed="false">
      <c r="A3" s="1" t="n">
        <v>1963</v>
      </c>
      <c r="B3" s="7" t="s">
        <v>12</v>
      </c>
      <c r="C3" s="1" t="n">
        <v>2</v>
      </c>
      <c r="D3" s="1" t="n">
        <v>1</v>
      </c>
      <c r="E3" s="8" t="n">
        <v>2</v>
      </c>
      <c r="F3" s="1" t="n">
        <v>-0.371063681390832</v>
      </c>
      <c r="G3" s="1" t="n">
        <v>0.855598085921329</v>
      </c>
      <c r="J3" s="4"/>
      <c r="K3" s="4"/>
      <c r="L3" s="8" t="n">
        <v>2</v>
      </c>
      <c r="M3" s="1" t="s">
        <v>13</v>
      </c>
      <c r="Q3" s="1" t="s">
        <v>14</v>
      </c>
    </row>
    <row r="4" s="1" customFormat="true" ht="15" hidden="false" customHeight="false" outlineLevel="0" collapsed="false">
      <c r="A4" s="1" t="n">
        <v>1963</v>
      </c>
      <c r="B4" s="7" t="s">
        <v>15</v>
      </c>
      <c r="C4" s="1" t="n">
        <v>3</v>
      </c>
      <c r="D4" s="1" t="n">
        <v>1</v>
      </c>
      <c r="E4" s="8" t="n">
        <v>2</v>
      </c>
      <c r="F4" s="1" t="n">
        <v>2.76882881884033</v>
      </c>
      <c r="G4" s="1" t="n">
        <v>0.626129240893973</v>
      </c>
      <c r="J4" s="4"/>
      <c r="K4" s="4"/>
      <c r="L4" s="8" t="n">
        <v>3</v>
      </c>
      <c r="M4" s="1" t="s">
        <v>16</v>
      </c>
    </row>
    <row r="5" s="1" customFormat="true" ht="15" hidden="false" customHeight="false" outlineLevel="0" collapsed="false">
      <c r="A5" s="1" t="n">
        <v>1964</v>
      </c>
      <c r="B5" s="7" t="s">
        <v>17</v>
      </c>
      <c r="C5" s="1" t="n">
        <v>4</v>
      </c>
      <c r="D5" s="1" t="n">
        <v>1</v>
      </c>
      <c r="E5" s="8" t="n">
        <v>2</v>
      </c>
      <c r="F5" s="1" t="n">
        <v>2.06178660644112</v>
      </c>
      <c r="G5" s="1" t="n">
        <v>1.19795546688875</v>
      </c>
      <c r="J5" s="4"/>
      <c r="K5" s="4"/>
      <c r="L5" s="8" t="n">
        <v>4</v>
      </c>
      <c r="M5" s="1" t="s">
        <v>18</v>
      </c>
    </row>
    <row r="6" s="1" customFormat="true" ht="15" hidden="false" customHeight="false" outlineLevel="0" collapsed="false">
      <c r="A6" s="1" t="n">
        <v>1964</v>
      </c>
      <c r="B6" s="7" t="s">
        <v>19</v>
      </c>
      <c r="C6" s="1" t="n">
        <v>5</v>
      </c>
      <c r="D6" s="1" t="n">
        <v>1</v>
      </c>
      <c r="E6" s="8" t="n">
        <v>2</v>
      </c>
      <c r="F6" s="1" t="n">
        <v>1.33762918913861</v>
      </c>
      <c r="G6" s="1" t="n">
        <v>0.433314853740828</v>
      </c>
      <c r="H6" s="10"/>
      <c r="L6" s="8" t="n">
        <v>5</v>
      </c>
      <c r="M6" s="1" t="s">
        <v>20</v>
      </c>
    </row>
    <row r="7" s="11" customFormat="true" ht="15" hidden="false" customHeight="false" outlineLevel="0" collapsed="false">
      <c r="A7" s="1" t="n">
        <v>1964</v>
      </c>
      <c r="B7" s="7" t="s">
        <v>21</v>
      </c>
      <c r="C7" s="1" t="n">
        <v>6</v>
      </c>
      <c r="D7" s="1" t="n">
        <v>1</v>
      </c>
      <c r="E7" s="8" t="n">
        <v>2</v>
      </c>
      <c r="F7" s="1" t="n">
        <v>0.672944473242426</v>
      </c>
      <c r="G7" s="1" t="n">
        <v>0.586982369295792</v>
      </c>
      <c r="H7" s="1"/>
      <c r="L7" s="12" t="n">
        <v>6</v>
      </c>
      <c r="M7" s="1" t="s">
        <v>22</v>
      </c>
    </row>
    <row r="8" s="1" customFormat="true" ht="15" hidden="false" customHeight="false" outlineLevel="0" collapsed="false">
      <c r="A8" s="1" t="n">
        <v>1964</v>
      </c>
      <c r="B8" s="7" t="s">
        <v>21</v>
      </c>
      <c r="C8" s="1" t="n">
        <v>6</v>
      </c>
      <c r="D8" s="12" t="n">
        <v>14</v>
      </c>
      <c r="E8" s="12" t="n">
        <v>11</v>
      </c>
      <c r="F8" s="1" t="n">
        <v>0.672944473242426</v>
      </c>
      <c r="G8" s="1" t="n">
        <v>0.586982369295792</v>
      </c>
      <c r="L8" s="8" t="n">
        <v>7</v>
      </c>
      <c r="M8" s="1" t="s">
        <v>23</v>
      </c>
    </row>
    <row r="9" s="1" customFormat="true" ht="15" hidden="false" customHeight="false" outlineLevel="0" collapsed="false">
      <c r="A9" s="1" t="n">
        <v>1964</v>
      </c>
      <c r="B9" s="7" t="s">
        <v>21</v>
      </c>
      <c r="C9" s="1" t="n">
        <v>6</v>
      </c>
      <c r="D9" s="12" t="n">
        <v>14</v>
      </c>
      <c r="E9" s="8" t="n">
        <v>2</v>
      </c>
      <c r="F9" s="1" t="n">
        <v>0</v>
      </c>
      <c r="G9" s="1" t="n">
        <v>0.565618684704819</v>
      </c>
      <c r="L9" s="8" t="n">
        <v>8</v>
      </c>
      <c r="M9" s="1" t="s">
        <v>24</v>
      </c>
    </row>
    <row r="10" s="1" customFormat="true" ht="15" hidden="false" customHeight="false" outlineLevel="0" collapsed="false">
      <c r="A10" s="1" t="n">
        <v>1964</v>
      </c>
      <c r="B10" s="7" t="s">
        <v>21</v>
      </c>
      <c r="C10" s="1" t="n">
        <v>6</v>
      </c>
      <c r="D10" s="12" t="n">
        <v>1</v>
      </c>
      <c r="E10" s="8" t="n">
        <v>14</v>
      </c>
      <c r="F10" s="1" t="n">
        <f aca="false">F7-F9</f>
        <v>0.672944473242426</v>
      </c>
      <c r="G10" s="1" t="n">
        <f aca="false">SQRT(G7^2+G9^2)</f>
        <v>0.815152009352434</v>
      </c>
      <c r="L10" s="12" t="n">
        <v>9</v>
      </c>
      <c r="M10" s="1" t="s">
        <v>25</v>
      </c>
      <c r="N10" s="11"/>
    </row>
    <row r="11" s="1" customFormat="true" ht="15" hidden="false" customHeight="false" outlineLevel="0" collapsed="false">
      <c r="A11" s="1" t="n">
        <v>1964</v>
      </c>
      <c r="B11" s="7" t="s">
        <v>21</v>
      </c>
      <c r="C11" s="1" t="n">
        <v>6</v>
      </c>
      <c r="D11" s="12" t="n">
        <v>1</v>
      </c>
      <c r="E11" s="8" t="n">
        <v>11</v>
      </c>
      <c r="F11" s="1" t="n">
        <f aca="false">F10+F8</f>
        <v>1.34588894648485</v>
      </c>
      <c r="G11" s="1" t="n">
        <f aca="false">SQRT(G10^2+G8^2)</f>
        <v>1.0045004232032</v>
      </c>
      <c r="L11" s="12" t="n">
        <v>10</v>
      </c>
      <c r="M11" s="1" t="s">
        <v>26</v>
      </c>
    </row>
    <row r="12" s="1" customFormat="true" ht="15" hidden="false" customHeight="false" outlineLevel="0" collapsed="false">
      <c r="A12" s="1" t="n">
        <v>1965</v>
      </c>
      <c r="B12" s="7" t="s">
        <v>21</v>
      </c>
      <c r="C12" s="1" t="n">
        <v>6</v>
      </c>
      <c r="D12" s="12" t="n">
        <v>2</v>
      </c>
      <c r="E12" s="8" t="n">
        <v>11</v>
      </c>
      <c r="F12" s="1" t="n">
        <f aca="false">F8-F9</f>
        <v>0.672944473242426</v>
      </c>
      <c r="G12" s="1" t="n">
        <f aca="false">SQRT(G8^2+G9^2)</f>
        <v>0.815152009352434</v>
      </c>
      <c r="L12" s="12" t="n">
        <v>11</v>
      </c>
      <c r="M12" s="1" t="s">
        <v>27</v>
      </c>
    </row>
    <row r="13" s="11" customFormat="true" ht="15" hidden="false" customHeight="false" outlineLevel="0" collapsed="false">
      <c r="A13" s="1" t="n">
        <v>1965</v>
      </c>
      <c r="B13" s="7" t="s">
        <v>28</v>
      </c>
      <c r="C13" s="1" t="n">
        <v>7</v>
      </c>
      <c r="D13" s="1" t="n">
        <v>1</v>
      </c>
      <c r="E13" s="8" t="n">
        <v>2</v>
      </c>
      <c r="F13" s="1" t="n">
        <v>2.73436750941958</v>
      </c>
      <c r="G13" s="1" t="n">
        <v>0.92924649466192</v>
      </c>
      <c r="H13" s="1"/>
      <c r="L13" s="12" t="n">
        <v>12</v>
      </c>
      <c r="M13" s="1" t="s">
        <v>29</v>
      </c>
      <c r="N13" s="1"/>
      <c r="O13" s="1"/>
    </row>
    <row r="14" s="1" customFormat="true" ht="15" hidden="false" customHeight="false" outlineLevel="0" collapsed="false">
      <c r="A14" s="1" t="n">
        <v>1977</v>
      </c>
      <c r="B14" s="7" t="s">
        <v>30</v>
      </c>
      <c r="C14" s="1" t="n">
        <v>8</v>
      </c>
      <c r="D14" s="1" t="n">
        <v>1</v>
      </c>
      <c r="E14" s="8" t="n">
        <v>2</v>
      </c>
      <c r="F14" s="1" t="n">
        <v>-0.0618754037180875</v>
      </c>
      <c r="G14" s="1" t="n">
        <v>0.789110357625728</v>
      </c>
      <c r="L14" s="12" t="n">
        <v>13</v>
      </c>
      <c r="M14" s="1" t="s">
        <v>31</v>
      </c>
    </row>
    <row r="15" s="1" customFormat="true" ht="15" hidden="false" customHeight="false" outlineLevel="0" collapsed="false">
      <c r="A15" s="1" t="n">
        <v>1977</v>
      </c>
      <c r="B15" s="7" t="s">
        <v>30</v>
      </c>
      <c r="C15" s="1" t="n">
        <v>8</v>
      </c>
      <c r="D15" s="1" t="n">
        <v>1</v>
      </c>
      <c r="E15" s="8" t="n">
        <v>3</v>
      </c>
      <c r="F15" s="1" t="n">
        <v>1.12492959698548</v>
      </c>
      <c r="G15" s="1" t="n">
        <v>0.699826107127466</v>
      </c>
      <c r="L15" s="12" t="n">
        <v>14</v>
      </c>
      <c r="M15" s="1" t="s">
        <v>32</v>
      </c>
    </row>
    <row r="16" s="1" customFormat="true" ht="15" hidden="false" customHeight="false" outlineLevel="0" collapsed="false">
      <c r="A16" s="1" t="n">
        <v>1977</v>
      </c>
      <c r="B16" s="7" t="s">
        <v>30</v>
      </c>
      <c r="C16" s="1" t="n">
        <v>8</v>
      </c>
      <c r="D16" s="1" t="n">
        <v>2</v>
      </c>
      <c r="E16" s="8" t="n">
        <v>3</v>
      </c>
      <c r="F16" s="1" t="n">
        <f aca="false">F15-F14</f>
        <v>1.18680500070357</v>
      </c>
      <c r="G16" s="1" t="n">
        <f aca="false">SQRT(G15^2+G14^2)</f>
        <v>1.05472827625384</v>
      </c>
      <c r="L16" s="12" t="n">
        <v>15</v>
      </c>
      <c r="M16" s="1" t="s">
        <v>33</v>
      </c>
    </row>
    <row r="17" s="1" customFormat="true" ht="15" hidden="false" customHeight="false" outlineLevel="0" collapsed="false">
      <c r="A17" s="1" t="n">
        <v>1976</v>
      </c>
      <c r="B17" s="7" t="s">
        <v>34</v>
      </c>
      <c r="C17" s="1" t="n">
        <v>9</v>
      </c>
      <c r="D17" s="8" t="n">
        <v>2</v>
      </c>
      <c r="E17" s="8" t="n">
        <v>3</v>
      </c>
      <c r="F17" s="1" t="n">
        <v>-0.127833371509885</v>
      </c>
      <c r="G17" s="1" t="n">
        <v>0.310304929674616</v>
      </c>
      <c r="L17" s="12" t="n">
        <v>16</v>
      </c>
      <c r="M17" s="1" t="s">
        <v>35</v>
      </c>
    </row>
    <row r="18" s="1" customFormat="true" ht="15" hidden="false" customHeight="false" outlineLevel="0" collapsed="false">
      <c r="A18" s="1" t="n">
        <v>1977</v>
      </c>
      <c r="B18" s="7" t="s">
        <v>36</v>
      </c>
      <c r="C18" s="1" t="n">
        <v>10</v>
      </c>
      <c r="D18" s="8" t="n">
        <v>2</v>
      </c>
      <c r="E18" s="8" t="n">
        <v>3</v>
      </c>
      <c r="F18" s="1" t="n">
        <v>0.76080582903376</v>
      </c>
      <c r="G18" s="1" t="n">
        <v>0.752498769991573</v>
      </c>
      <c r="L18" s="12" t="n">
        <v>17</v>
      </c>
      <c r="M18" s="1" t="s">
        <v>37</v>
      </c>
    </row>
    <row r="19" s="1" customFormat="true" ht="15" hidden="false" customHeight="false" outlineLevel="0" collapsed="false">
      <c r="A19" s="1" t="n">
        <v>1972</v>
      </c>
      <c r="B19" s="7" t="s">
        <v>38</v>
      </c>
      <c r="C19" s="1" t="n">
        <v>11</v>
      </c>
      <c r="D19" s="8" t="n">
        <v>2</v>
      </c>
      <c r="E19" s="8" t="n">
        <v>4</v>
      </c>
      <c r="F19" s="1" t="n">
        <v>1.62334081760309</v>
      </c>
      <c r="G19" s="1" t="n">
        <v>0.492600925890364</v>
      </c>
      <c r="L19" s="12" t="n">
        <v>18</v>
      </c>
      <c r="M19" s="1" t="s">
        <v>39</v>
      </c>
    </row>
    <row r="20" s="1" customFormat="true" ht="15" hidden="false" customHeight="false" outlineLevel="0" collapsed="false">
      <c r="A20" s="1" t="n">
        <v>1980</v>
      </c>
      <c r="B20" s="7" t="s">
        <v>40</v>
      </c>
      <c r="C20" s="1" t="n">
        <v>12</v>
      </c>
      <c r="D20" s="8" t="n">
        <v>2</v>
      </c>
      <c r="E20" s="8" t="n">
        <v>4</v>
      </c>
      <c r="F20" s="1" t="n">
        <v>0.576613364303994</v>
      </c>
      <c r="G20" s="1" t="n">
        <v>0.535561807204687</v>
      </c>
      <c r="L20" s="12" t="n">
        <v>19</v>
      </c>
      <c r="M20" s="1" t="s">
        <v>41</v>
      </c>
    </row>
    <row r="21" s="1" customFormat="true" ht="15" hidden="false" customHeight="false" outlineLevel="0" collapsed="false">
      <c r="A21" s="1" t="n">
        <v>1976</v>
      </c>
      <c r="B21" s="7" t="s">
        <v>42</v>
      </c>
      <c r="C21" s="1" t="n">
        <v>13</v>
      </c>
      <c r="D21" s="8" t="n">
        <v>3</v>
      </c>
      <c r="E21" s="8" t="n">
        <v>4</v>
      </c>
      <c r="F21" s="1" t="n">
        <v>0.148420005118273</v>
      </c>
      <c r="G21" s="1" t="n">
        <v>0.48310741929091</v>
      </c>
      <c r="L21" s="12" t="n">
        <v>20</v>
      </c>
      <c r="M21" s="1" t="s">
        <v>43</v>
      </c>
    </row>
    <row r="22" s="1" customFormat="true" ht="15" hidden="false" customHeight="false" outlineLevel="0" collapsed="false">
      <c r="A22" s="1" t="n">
        <v>1978</v>
      </c>
      <c r="B22" s="7" t="s">
        <v>44</v>
      </c>
      <c r="C22" s="1" t="n">
        <v>14</v>
      </c>
      <c r="D22" s="8" t="n">
        <v>3</v>
      </c>
      <c r="E22" s="8" t="n">
        <v>4</v>
      </c>
      <c r="F22" s="1" t="n">
        <v>-0.7339691750802</v>
      </c>
      <c r="G22" s="1" t="n">
        <v>0.558738752045951</v>
      </c>
      <c r="L22" s="12" t="n">
        <v>21</v>
      </c>
      <c r="M22" s="1" t="s">
        <v>45</v>
      </c>
    </row>
    <row r="23" s="1" customFormat="true" ht="15" hidden="false" customHeight="false" outlineLevel="0" collapsed="false">
      <c r="A23" s="1" t="n">
        <v>1980</v>
      </c>
      <c r="B23" s="7" t="s">
        <v>46</v>
      </c>
      <c r="C23" s="1" t="n">
        <v>15</v>
      </c>
      <c r="D23" s="8" t="n">
        <v>3</v>
      </c>
      <c r="E23" s="8" t="n">
        <v>4</v>
      </c>
      <c r="F23" s="1" t="n">
        <v>-0.478035800943</v>
      </c>
      <c r="G23" s="1" t="n">
        <v>0.572962944261646</v>
      </c>
      <c r="L23" s="12" t="n">
        <v>22</v>
      </c>
      <c r="M23" s="1" t="s">
        <v>47</v>
      </c>
    </row>
    <row r="24" s="1" customFormat="true" ht="15" hidden="false" customHeight="false" outlineLevel="0" collapsed="false">
      <c r="A24" s="1" t="n">
        <v>1991</v>
      </c>
      <c r="B24" s="7" t="s">
        <v>48</v>
      </c>
      <c r="C24" s="1" t="n">
        <v>16</v>
      </c>
      <c r="D24" s="12" t="n">
        <v>9</v>
      </c>
      <c r="E24" s="8" t="n">
        <v>4</v>
      </c>
      <c r="F24" s="1" t="n">
        <v>0.815364813284194</v>
      </c>
      <c r="G24" s="1" t="n">
        <v>0.528870389965878</v>
      </c>
      <c r="L24" s="12" t="n">
        <v>23</v>
      </c>
      <c r="M24" s="1" t="s">
        <v>49</v>
      </c>
    </row>
    <row r="25" s="1" customFormat="true" ht="15" hidden="false" customHeight="false" outlineLevel="0" collapsed="false">
      <c r="A25" s="1" t="n">
        <v>1980</v>
      </c>
      <c r="B25" s="7" t="s">
        <v>50</v>
      </c>
      <c r="C25" s="1" t="n">
        <v>17</v>
      </c>
      <c r="D25" s="8" t="n">
        <v>2</v>
      </c>
      <c r="E25" s="8" t="n">
        <v>5</v>
      </c>
      <c r="F25" s="1" t="n">
        <v>4.75359019110636</v>
      </c>
      <c r="G25" s="1" t="n">
        <v>1.11466743628782</v>
      </c>
      <c r="L25" s="12" t="n">
        <v>24</v>
      </c>
      <c r="M25" s="1" t="s">
        <v>51</v>
      </c>
    </row>
    <row r="26" s="1" customFormat="true" ht="15" hidden="false" customHeight="false" outlineLevel="0" collapsed="false">
      <c r="A26" s="1" t="n">
        <v>1980</v>
      </c>
      <c r="B26" s="7" t="s">
        <v>52</v>
      </c>
      <c r="C26" s="1" t="n">
        <v>18</v>
      </c>
      <c r="D26" s="8" t="n">
        <v>2</v>
      </c>
      <c r="E26" s="8" t="n">
        <v>5</v>
      </c>
      <c r="F26" s="1" t="n">
        <v>1.31103187661934</v>
      </c>
      <c r="G26" s="1" t="n">
        <v>0.728592521535085</v>
      </c>
    </row>
    <row r="27" s="1" customFormat="true" ht="15" hidden="false" customHeight="false" outlineLevel="0" collapsed="false">
      <c r="A27" s="1" t="n">
        <v>1981</v>
      </c>
      <c r="B27" s="7" t="s">
        <v>53</v>
      </c>
      <c r="C27" s="1" t="n">
        <v>19</v>
      </c>
      <c r="D27" s="8" t="n">
        <v>2</v>
      </c>
      <c r="E27" s="8" t="n">
        <v>5</v>
      </c>
      <c r="F27" s="1" t="n">
        <v>1.05779029414785</v>
      </c>
      <c r="G27" s="1" t="n">
        <v>0.64055774555384</v>
      </c>
    </row>
    <row r="28" s="1" customFormat="true" ht="15" hidden="false" customHeight="false" outlineLevel="0" collapsed="false">
      <c r="A28" s="1" t="n">
        <v>1982</v>
      </c>
      <c r="B28" s="7" t="s">
        <v>54</v>
      </c>
      <c r="C28" s="1" t="n">
        <v>20</v>
      </c>
      <c r="D28" s="8" t="n">
        <v>2</v>
      </c>
      <c r="E28" s="8" t="n">
        <v>5</v>
      </c>
      <c r="F28" s="1" t="n">
        <v>1.54115907168081</v>
      </c>
      <c r="G28" s="1" t="n">
        <v>0.697876598820699</v>
      </c>
    </row>
    <row r="29" s="1" customFormat="true" ht="15" hidden="false" customHeight="false" outlineLevel="0" collapsed="false">
      <c r="A29" s="1" t="n">
        <v>1982</v>
      </c>
      <c r="B29" s="7" t="s">
        <v>55</v>
      </c>
      <c r="C29" s="1" t="n">
        <v>21</v>
      </c>
      <c r="D29" s="8" t="n">
        <v>2</v>
      </c>
      <c r="E29" s="8" t="n">
        <v>5</v>
      </c>
      <c r="F29" s="1" t="n">
        <v>0.431782416425538</v>
      </c>
      <c r="G29" s="1" t="n">
        <v>0.512788199436124</v>
      </c>
    </row>
    <row r="30" s="1" customFormat="true" ht="15" hidden="false" customHeight="false" outlineLevel="0" collapsed="false">
      <c r="A30" s="1" t="n">
        <v>1987</v>
      </c>
      <c r="B30" s="7" t="s">
        <v>56</v>
      </c>
      <c r="C30" s="1" t="n">
        <v>22</v>
      </c>
      <c r="D30" s="8" t="n">
        <v>2</v>
      </c>
      <c r="E30" s="8" t="n">
        <v>5</v>
      </c>
      <c r="F30" s="1" t="n">
        <v>1.70474809223843</v>
      </c>
      <c r="G30" s="1" t="n">
        <v>0.935916503966122</v>
      </c>
      <c r="L30" s="12"/>
    </row>
    <row r="31" s="1" customFormat="true" ht="15" hidden="false" customHeight="false" outlineLevel="0" collapsed="false">
      <c r="A31" s="1" t="n">
        <v>1987</v>
      </c>
      <c r="B31" s="7" t="s">
        <v>57</v>
      </c>
      <c r="C31" s="1" t="n">
        <v>23</v>
      </c>
      <c r="D31" s="8" t="n">
        <v>2</v>
      </c>
      <c r="E31" s="8" t="n">
        <v>5</v>
      </c>
      <c r="F31" s="1" t="n">
        <v>2.07944154167984</v>
      </c>
      <c r="G31" s="1" t="n">
        <v>1.23528060695843</v>
      </c>
    </row>
    <row r="32" s="1" customFormat="true" ht="15" hidden="false" customHeight="false" outlineLevel="0" collapsed="false">
      <c r="A32" s="1" t="n">
        <v>1987</v>
      </c>
      <c r="B32" s="7" t="s">
        <v>57</v>
      </c>
      <c r="C32" s="1" t="n">
        <v>23</v>
      </c>
      <c r="D32" s="12" t="n">
        <v>13</v>
      </c>
      <c r="E32" s="8" t="n">
        <v>5</v>
      </c>
      <c r="F32" s="1" t="n">
        <v>0.512823626428664</v>
      </c>
      <c r="G32" s="1" t="n">
        <v>0.966972731591948</v>
      </c>
    </row>
    <row r="33" s="1" customFormat="true" ht="15" hidden="false" customHeight="false" outlineLevel="0" collapsed="false">
      <c r="A33" s="1" t="n">
        <v>1987</v>
      </c>
      <c r="B33" s="7" t="s">
        <v>57</v>
      </c>
      <c r="C33" s="1" t="n">
        <v>23</v>
      </c>
      <c r="D33" s="12" t="n">
        <v>2</v>
      </c>
      <c r="E33" s="8" t="n">
        <v>13</v>
      </c>
      <c r="F33" s="1" t="n">
        <f aca="false">F31-F32</f>
        <v>1.56661791525117</v>
      </c>
      <c r="G33" s="1" t="n">
        <f aca="false">SQRT(G32^2+G31^2)</f>
        <v>1.56874294948853</v>
      </c>
    </row>
    <row r="34" s="1" customFormat="true" ht="15" hidden="false" customHeight="false" outlineLevel="0" collapsed="false">
      <c r="A34" s="1" t="n">
        <v>1984</v>
      </c>
      <c r="B34" s="7" t="s">
        <v>58</v>
      </c>
      <c r="C34" s="1" t="n">
        <v>24</v>
      </c>
      <c r="D34" s="12" t="n">
        <v>10</v>
      </c>
      <c r="E34" s="8" t="n">
        <v>5</v>
      </c>
      <c r="F34" s="1" t="n">
        <v>0.810930216216329</v>
      </c>
      <c r="G34" s="1" t="n">
        <v>0.730153285951395</v>
      </c>
    </row>
    <row r="35" s="1" customFormat="true" ht="15" hidden="false" customHeight="false" outlineLevel="0" collapsed="false">
      <c r="A35" s="1" t="n">
        <v>1981</v>
      </c>
      <c r="B35" s="7" t="s">
        <v>59</v>
      </c>
      <c r="C35" s="1" t="n">
        <v>25</v>
      </c>
      <c r="D35" s="8" t="n">
        <v>3</v>
      </c>
      <c r="E35" s="8" t="n">
        <v>5</v>
      </c>
      <c r="F35" s="1" t="n">
        <v>-1.27296567581289</v>
      </c>
      <c r="G35" s="1" t="n">
        <v>1.1730819382238</v>
      </c>
      <c r="I35" s="13"/>
      <c r="J35" s="13"/>
      <c r="K35" s="13"/>
      <c r="L35" s="13"/>
      <c r="M35" s="13"/>
      <c r="N35" s="13"/>
    </row>
    <row r="36" s="1" customFormat="true" ht="15" hidden="false" customHeight="false" outlineLevel="0" collapsed="false">
      <c r="A36" s="1" t="n">
        <v>1981</v>
      </c>
      <c r="B36" s="7" t="s">
        <v>60</v>
      </c>
      <c r="C36" s="1" t="n">
        <v>26</v>
      </c>
      <c r="D36" s="8" t="n">
        <v>3</v>
      </c>
      <c r="E36" s="8" t="n">
        <v>5</v>
      </c>
      <c r="F36" s="1" t="n">
        <v>-0.116533816255952</v>
      </c>
      <c r="G36" s="1" t="n">
        <v>1.06166325629971</v>
      </c>
      <c r="I36" s="13"/>
      <c r="J36" s="13"/>
      <c r="K36" s="13"/>
      <c r="L36" s="13"/>
      <c r="M36" s="13"/>
      <c r="N36" s="13"/>
    </row>
    <row r="37" s="1" customFormat="true" ht="15" hidden="false" customHeight="false" outlineLevel="0" collapsed="false">
      <c r="A37" s="1" t="n">
        <v>1982</v>
      </c>
      <c r="B37" s="7" t="s">
        <v>61</v>
      </c>
      <c r="C37" s="1" t="n">
        <v>27</v>
      </c>
      <c r="D37" s="8" t="n">
        <v>3</v>
      </c>
      <c r="E37" s="8" t="n">
        <v>5</v>
      </c>
      <c r="F37" s="1" t="n">
        <v>-0.0408219945202552</v>
      </c>
      <c r="G37" s="1" t="n">
        <v>0.476465657195402</v>
      </c>
      <c r="I37" s="13"/>
      <c r="J37" s="9"/>
      <c r="K37" s="9"/>
      <c r="L37" s="9"/>
      <c r="M37" s="13"/>
      <c r="N37" s="13"/>
    </row>
    <row r="38" s="1" customFormat="true" ht="15" hidden="false" customHeight="false" outlineLevel="0" collapsed="false">
      <c r="A38" s="1" t="n">
        <v>1983</v>
      </c>
      <c r="B38" s="7" t="s">
        <v>62</v>
      </c>
      <c r="C38" s="1" t="n">
        <v>28</v>
      </c>
      <c r="D38" s="8" t="n">
        <v>3</v>
      </c>
      <c r="E38" s="8" t="n">
        <v>5</v>
      </c>
      <c r="F38" s="1" t="n">
        <v>-2.65926003693278</v>
      </c>
      <c r="G38" s="1" t="n">
        <v>1.09450495947663</v>
      </c>
      <c r="I38" s="13"/>
      <c r="J38" s="13"/>
      <c r="K38" s="13"/>
      <c r="L38" s="13"/>
      <c r="M38" s="13"/>
      <c r="N38" s="13"/>
    </row>
    <row r="39" s="1" customFormat="true" ht="15" hidden="false" customHeight="false" outlineLevel="0" collapsed="false">
      <c r="A39" s="1" t="n">
        <v>1984</v>
      </c>
      <c r="B39" s="7" t="s">
        <v>63</v>
      </c>
      <c r="C39" s="1" t="n">
        <v>29</v>
      </c>
      <c r="D39" s="8" t="n">
        <v>3</v>
      </c>
      <c r="E39" s="8" t="n">
        <v>5</v>
      </c>
      <c r="F39" s="1" t="n">
        <v>0.985816794522765</v>
      </c>
      <c r="G39" s="1" t="n">
        <v>0.574463412339058</v>
      </c>
      <c r="I39" s="13"/>
      <c r="J39" s="13"/>
      <c r="K39" s="13"/>
      <c r="L39" s="13"/>
      <c r="M39" s="13"/>
      <c r="N39" s="13"/>
    </row>
    <row r="40" s="1" customFormat="true" ht="15" hidden="false" customHeight="false" outlineLevel="0" collapsed="false">
      <c r="A40" s="1" t="n">
        <v>1982</v>
      </c>
      <c r="B40" s="7" t="s">
        <v>64</v>
      </c>
      <c r="C40" s="1" t="n">
        <v>30</v>
      </c>
      <c r="D40" s="8" t="n">
        <v>4</v>
      </c>
      <c r="E40" s="8" t="n">
        <v>5</v>
      </c>
      <c r="F40" s="1" t="n">
        <v>0.598836501088704</v>
      </c>
      <c r="G40" s="1" t="n">
        <v>0.540397183145283</v>
      </c>
      <c r="J40" s="13"/>
      <c r="K40" s="13"/>
      <c r="L40" s="13"/>
      <c r="M40" s="13"/>
      <c r="N40" s="13"/>
    </row>
    <row r="41" s="1" customFormat="true" ht="15" hidden="false" customHeight="false" outlineLevel="0" collapsed="false">
      <c r="A41" s="1" t="n">
        <v>1984</v>
      </c>
      <c r="B41" s="7" t="s">
        <v>65</v>
      </c>
      <c r="C41" s="1" t="n">
        <v>31</v>
      </c>
      <c r="D41" s="8" t="n">
        <v>4</v>
      </c>
      <c r="E41" s="8" t="n">
        <v>5</v>
      </c>
      <c r="F41" s="1" t="n">
        <v>-1.20397280432594</v>
      </c>
      <c r="G41" s="1" t="n">
        <v>0.8159880401915</v>
      </c>
      <c r="J41" s="14"/>
      <c r="K41" s="14"/>
      <c r="L41" s="14"/>
      <c r="M41" s="13"/>
      <c r="N41" s="13"/>
    </row>
    <row r="42" s="1" customFormat="true" ht="15" hidden="false" customHeight="false" outlineLevel="0" collapsed="false">
      <c r="A42" s="1" t="n">
        <v>1989</v>
      </c>
      <c r="B42" s="7" t="s">
        <v>66</v>
      </c>
      <c r="C42" s="1" t="n">
        <v>32</v>
      </c>
      <c r="D42" s="8" t="n">
        <v>4</v>
      </c>
      <c r="E42" s="8" t="n">
        <v>5</v>
      </c>
      <c r="F42" s="1" t="n">
        <v>0</v>
      </c>
      <c r="G42" s="1" t="n">
        <v>0.63095556821095</v>
      </c>
      <c r="J42" s="13"/>
      <c r="K42" s="15"/>
      <c r="L42" s="15"/>
      <c r="M42" s="13"/>
      <c r="N42" s="13"/>
    </row>
    <row r="43" s="1" customFormat="true" ht="15" hidden="false" customHeight="false" outlineLevel="0" collapsed="false">
      <c r="A43" s="1" t="n">
        <v>1996</v>
      </c>
      <c r="B43" s="7" t="s">
        <v>67</v>
      </c>
      <c r="C43" s="1" t="n">
        <v>33</v>
      </c>
      <c r="D43" s="12" t="n">
        <v>6</v>
      </c>
      <c r="E43" s="8" t="n">
        <v>5</v>
      </c>
      <c r="F43" s="1" t="n">
        <v>-1.38629436111989</v>
      </c>
      <c r="G43" s="1" t="n">
        <v>0.744329268388847</v>
      </c>
      <c r="J43" s="16"/>
      <c r="K43" s="14"/>
      <c r="L43" s="14"/>
      <c r="M43" s="13"/>
      <c r="N43" s="13"/>
    </row>
    <row r="44" s="1" customFormat="true" ht="15" hidden="false" customHeight="false" outlineLevel="0" collapsed="false">
      <c r="A44" s="1" t="n">
        <v>1987</v>
      </c>
      <c r="B44" s="7" t="s">
        <v>68</v>
      </c>
      <c r="C44" s="1" t="n">
        <v>34</v>
      </c>
      <c r="D44" s="8" t="n">
        <v>5</v>
      </c>
      <c r="E44" s="1" t="n">
        <v>23</v>
      </c>
      <c r="F44" s="1" t="n">
        <v>2.19722457733622</v>
      </c>
      <c r="G44" s="1" t="n">
        <v>1.1535764840959</v>
      </c>
      <c r="J44" s="13"/>
      <c r="K44" s="15"/>
      <c r="L44" s="15"/>
      <c r="M44" s="13"/>
      <c r="N44" s="13"/>
    </row>
    <row r="45" s="1" customFormat="true" ht="15" hidden="false" customHeight="false" outlineLevel="0" collapsed="false">
      <c r="A45" s="1" t="n">
        <v>1997</v>
      </c>
      <c r="B45" s="7" t="s">
        <v>69</v>
      </c>
      <c r="C45" s="1" t="n">
        <v>35</v>
      </c>
      <c r="D45" s="12" t="n">
        <v>6</v>
      </c>
      <c r="E45" s="8" t="n">
        <v>5</v>
      </c>
      <c r="F45" s="1" t="n">
        <v>0.168661747742722</v>
      </c>
      <c r="G45" s="1" t="n">
        <v>0.433634764468433</v>
      </c>
      <c r="J45" s="13"/>
      <c r="K45" s="13"/>
      <c r="L45" s="13"/>
      <c r="M45" s="13"/>
      <c r="N45" s="13"/>
    </row>
    <row r="46" s="1" customFormat="true" ht="15" hidden="false" customHeight="false" outlineLevel="0" collapsed="false">
      <c r="A46" s="1" t="n">
        <v>1976</v>
      </c>
      <c r="B46" s="7" t="s">
        <v>70</v>
      </c>
      <c r="C46" s="1" t="n">
        <v>36</v>
      </c>
      <c r="D46" s="1" t="n">
        <v>19</v>
      </c>
      <c r="E46" s="1" t="n">
        <v>12</v>
      </c>
      <c r="F46" s="1" t="n">
        <v>0.300104592450338</v>
      </c>
      <c r="G46" s="1" t="n">
        <v>0.596931792108588</v>
      </c>
      <c r="J46" s="13"/>
      <c r="K46" s="13"/>
      <c r="L46" s="13"/>
      <c r="M46" s="13"/>
      <c r="N46" s="13"/>
    </row>
    <row r="47" s="1" customFormat="true" ht="15" hidden="false" customHeight="false" outlineLevel="0" collapsed="false">
      <c r="A47" s="1" t="n">
        <v>1967</v>
      </c>
      <c r="B47" s="7" t="s">
        <v>71</v>
      </c>
      <c r="C47" s="1" t="n">
        <v>37</v>
      </c>
      <c r="D47" s="1" t="n">
        <v>17</v>
      </c>
      <c r="E47" s="8" t="n">
        <v>2</v>
      </c>
      <c r="F47" s="1" t="n">
        <v>-0.130667886259076</v>
      </c>
      <c r="G47" s="1" t="n">
        <v>0.595000125011748</v>
      </c>
      <c r="J47" s="13"/>
      <c r="K47" s="13"/>
      <c r="L47" s="13"/>
      <c r="M47" s="13"/>
      <c r="N47" s="13"/>
    </row>
    <row r="48" s="1" customFormat="true" ht="15" hidden="false" customHeight="false" outlineLevel="0" collapsed="false">
      <c r="A48" s="1" t="n">
        <v>1972</v>
      </c>
      <c r="B48" s="7" t="s">
        <v>72</v>
      </c>
      <c r="C48" s="1" t="n">
        <v>38</v>
      </c>
      <c r="D48" s="1" t="n">
        <v>18</v>
      </c>
      <c r="E48" s="8" t="n">
        <v>2</v>
      </c>
      <c r="F48" s="1" t="n">
        <v>-0.899525562712379</v>
      </c>
      <c r="G48" s="1" t="n">
        <v>0.436495209431036</v>
      </c>
      <c r="J48" s="13"/>
      <c r="K48" s="13"/>
      <c r="L48" s="13"/>
      <c r="M48" s="13"/>
      <c r="N48" s="13"/>
    </row>
    <row r="49" s="1" customFormat="true" ht="15" hidden="false" customHeight="false" outlineLevel="0" collapsed="false">
      <c r="A49" s="1" t="n">
        <v>1979</v>
      </c>
      <c r="B49" s="7" t="s">
        <v>73</v>
      </c>
      <c r="C49" s="1" t="n">
        <v>39</v>
      </c>
      <c r="D49" s="12" t="n">
        <v>13</v>
      </c>
      <c r="E49" s="8" t="n">
        <v>2</v>
      </c>
      <c r="F49" s="1" t="n">
        <v>-0.0512932943875506</v>
      </c>
      <c r="G49" s="1" t="n">
        <v>2.42040104810573</v>
      </c>
    </row>
    <row r="50" s="1" customFormat="true" ht="15" hidden="false" customHeight="false" outlineLevel="0" collapsed="false">
      <c r="A50" s="1" t="n">
        <v>1985</v>
      </c>
      <c r="B50" s="7" t="s">
        <v>74</v>
      </c>
      <c r="C50" s="1" t="n">
        <v>40</v>
      </c>
      <c r="D50" s="12" t="n">
        <v>13</v>
      </c>
      <c r="E50" s="8" t="n">
        <v>4</v>
      </c>
      <c r="F50" s="1" t="n">
        <v>0.965335915627247</v>
      </c>
      <c r="G50" s="1" t="n">
        <v>0.660996654116464</v>
      </c>
    </row>
    <row r="51" s="1" customFormat="true" ht="15" hidden="false" customHeight="false" outlineLevel="0" collapsed="false">
      <c r="A51" s="1" t="n">
        <v>1976</v>
      </c>
      <c r="B51" s="7" t="s">
        <v>70</v>
      </c>
      <c r="C51" s="1" t="n">
        <v>41</v>
      </c>
      <c r="D51" s="1" t="n">
        <v>19</v>
      </c>
      <c r="E51" s="8" t="n">
        <v>7</v>
      </c>
      <c r="F51" s="1" t="n">
        <v>1.79175946922806</v>
      </c>
      <c r="G51" s="1" t="n">
        <v>1.16800779290392</v>
      </c>
    </row>
    <row r="52" s="1" customFormat="true" ht="15" hidden="false" customHeight="false" outlineLevel="0" collapsed="false">
      <c r="A52" s="1" t="n">
        <v>1981</v>
      </c>
      <c r="B52" s="7" t="s">
        <v>75</v>
      </c>
      <c r="C52" s="1" t="n">
        <v>42</v>
      </c>
      <c r="D52" s="12" t="n">
        <v>13</v>
      </c>
      <c r="E52" s="8" t="n">
        <v>8</v>
      </c>
      <c r="F52" s="1" t="n">
        <v>1.02961941718116</v>
      </c>
      <c r="G52" s="1" t="n">
        <v>0.745070690661095</v>
      </c>
    </row>
    <row r="53" s="1" customFormat="true" ht="15" hidden="false" customHeight="false" outlineLevel="0" collapsed="false">
      <c r="A53" s="1" t="n">
        <v>1981</v>
      </c>
      <c r="B53" s="7" t="s">
        <v>75</v>
      </c>
      <c r="C53" s="1" t="n">
        <v>42</v>
      </c>
      <c r="D53" s="12" t="n">
        <v>13</v>
      </c>
      <c r="E53" s="8" t="n">
        <v>2</v>
      </c>
      <c r="F53" s="1" t="n">
        <v>0.246860077931526</v>
      </c>
      <c r="G53" s="1" t="n">
        <v>0.707790801625266</v>
      </c>
    </row>
    <row r="54" s="1" customFormat="true" ht="15" hidden="false" customHeight="false" outlineLevel="0" collapsed="false">
      <c r="A54" s="1" t="n">
        <v>1981</v>
      </c>
      <c r="B54" s="7" t="s">
        <v>75</v>
      </c>
      <c r="C54" s="1" t="n">
        <v>42</v>
      </c>
      <c r="D54" s="8" t="n">
        <v>1</v>
      </c>
      <c r="E54" s="1" t="n">
        <v>8</v>
      </c>
      <c r="F54" s="1" t="n">
        <v>0.566707092398306</v>
      </c>
      <c r="G54" s="1" t="n">
        <v>0.476507094511058</v>
      </c>
    </row>
    <row r="55" s="1" customFormat="true" ht="15" hidden="false" customHeight="false" outlineLevel="0" collapsed="false">
      <c r="A55" s="1" t="n">
        <v>1981</v>
      </c>
      <c r="B55" s="7" t="s">
        <v>75</v>
      </c>
      <c r="C55" s="1" t="n">
        <v>42</v>
      </c>
      <c r="D55" s="8" t="n">
        <v>1</v>
      </c>
      <c r="E55" s="1" t="n">
        <v>2</v>
      </c>
      <c r="F55" s="1" t="n">
        <f aca="false">F53+F56</f>
        <v>-0.216052246851326</v>
      </c>
      <c r="G55" s="1" t="n">
        <f aca="false">SQRT(G53^2+G56^2)</f>
        <v>1.13276527315544</v>
      </c>
    </row>
    <row r="56" s="1" customFormat="true" ht="15" hidden="false" customHeight="false" outlineLevel="0" collapsed="false">
      <c r="A56" s="1" t="n">
        <v>1981</v>
      </c>
      <c r="B56" s="7" t="s">
        <v>75</v>
      </c>
      <c r="C56" s="1" t="n">
        <v>42</v>
      </c>
      <c r="D56" s="8" t="n">
        <v>1</v>
      </c>
      <c r="E56" s="1" t="n">
        <v>13</v>
      </c>
      <c r="F56" s="1" t="n">
        <f aca="false">F54-F52</f>
        <v>-0.462912324782852</v>
      </c>
      <c r="G56" s="1" t="n">
        <f aca="false">SQRT(G52^2+G54^2)</f>
        <v>0.884414690742737</v>
      </c>
    </row>
    <row r="57" s="1" customFormat="true" ht="15" hidden="false" customHeight="false" outlineLevel="0" collapsed="false">
      <c r="A57" s="1" t="n">
        <v>1981</v>
      </c>
      <c r="B57" s="7" t="s">
        <v>75</v>
      </c>
      <c r="C57" s="1" t="n">
        <v>42</v>
      </c>
      <c r="D57" s="8" t="n">
        <v>2</v>
      </c>
      <c r="E57" s="1" t="n">
        <v>8</v>
      </c>
      <c r="F57" s="1" t="n">
        <f aca="false">F52-F53</f>
        <v>0.782759339249632</v>
      </c>
      <c r="G57" s="1" t="n">
        <f aca="false">SQRT(G52^2+G53^2)</f>
        <v>1.02766636266229</v>
      </c>
    </row>
    <row r="58" s="1" customFormat="true" ht="15" hidden="false" customHeight="false" outlineLevel="0" collapsed="false">
      <c r="A58" s="1" t="n">
        <v>1984</v>
      </c>
      <c r="B58" s="7" t="s">
        <v>76</v>
      </c>
      <c r="C58" s="1" t="n">
        <v>43</v>
      </c>
      <c r="D58" s="12" t="n">
        <v>13</v>
      </c>
      <c r="E58" s="1" t="n">
        <v>15</v>
      </c>
      <c r="F58" s="1" t="n">
        <v>1.70474809223843</v>
      </c>
      <c r="G58" s="1" t="n">
        <v>0.838985769016576</v>
      </c>
    </row>
    <row r="59" s="1" customFormat="true" ht="15" hidden="false" customHeight="false" outlineLevel="0" collapsed="false">
      <c r="A59" s="1" t="n">
        <v>1972</v>
      </c>
      <c r="B59" s="7" t="s">
        <v>77</v>
      </c>
      <c r="C59" s="1" t="n">
        <v>44</v>
      </c>
      <c r="D59" s="1" t="n">
        <v>20</v>
      </c>
      <c r="E59" s="8" t="n">
        <v>2</v>
      </c>
      <c r="F59" s="1" t="n">
        <v>1.45161382724053</v>
      </c>
      <c r="G59" s="1" t="n">
        <v>0.660618860780618</v>
      </c>
    </row>
    <row r="60" s="1" customFormat="true" ht="15" hidden="false" customHeight="false" outlineLevel="0" collapsed="false">
      <c r="A60" s="1" t="n">
        <v>1981</v>
      </c>
      <c r="B60" s="7" t="s">
        <v>78</v>
      </c>
      <c r="C60" s="1" t="n">
        <v>45</v>
      </c>
      <c r="D60" s="12" t="n">
        <v>13</v>
      </c>
      <c r="E60" s="8" t="n">
        <v>5</v>
      </c>
      <c r="F60" s="1" t="n">
        <v>0.73716406597672</v>
      </c>
      <c r="G60" s="1" t="n">
        <v>1.25468304817557</v>
      </c>
    </row>
    <row r="61" s="1" customFormat="true" ht="15" hidden="false" customHeight="false" outlineLevel="0" collapsed="false">
      <c r="A61" s="1" t="n">
        <v>1982</v>
      </c>
      <c r="B61" s="7" t="s">
        <v>79</v>
      </c>
      <c r="C61" s="1" t="n">
        <v>46</v>
      </c>
      <c r="D61" s="12" t="n">
        <v>13</v>
      </c>
      <c r="E61" s="8" t="n">
        <v>5</v>
      </c>
      <c r="F61" s="1" t="n">
        <v>-0.415515443961666</v>
      </c>
      <c r="G61" s="1" t="n">
        <v>0.662899481699113</v>
      </c>
    </row>
    <row r="62" s="1" customFormat="true" ht="15" hidden="false" customHeight="false" outlineLevel="0" collapsed="false">
      <c r="A62" s="1" t="n">
        <v>1986</v>
      </c>
      <c r="B62" s="7" t="s">
        <v>80</v>
      </c>
      <c r="C62" s="1" t="n">
        <v>47</v>
      </c>
      <c r="D62" s="12" t="n">
        <v>13</v>
      </c>
      <c r="E62" s="12" t="n">
        <v>9</v>
      </c>
      <c r="F62" s="1" t="n">
        <v>-0.116533816255952</v>
      </c>
      <c r="G62" s="1" t="n">
        <v>0.629783471827989</v>
      </c>
    </row>
    <row r="63" s="1" customFormat="true" ht="15" hidden="false" customHeight="false" outlineLevel="0" collapsed="false">
      <c r="A63" s="1" t="n">
        <v>1984</v>
      </c>
      <c r="B63" s="7" t="s">
        <v>81</v>
      </c>
      <c r="C63" s="1" t="n">
        <v>48</v>
      </c>
      <c r="D63" s="8" t="n">
        <v>1</v>
      </c>
      <c r="E63" s="1" t="n">
        <v>8</v>
      </c>
      <c r="F63" s="1" t="n">
        <v>0.704828059405186</v>
      </c>
      <c r="G63" s="1" t="n">
        <v>0.417453407721906</v>
      </c>
    </row>
    <row r="64" s="1" customFormat="true" ht="15" hidden="false" customHeight="false" outlineLevel="0" collapsed="false">
      <c r="A64" s="1" t="n">
        <v>1981</v>
      </c>
      <c r="B64" s="7" t="s">
        <v>82</v>
      </c>
      <c r="C64" s="1" t="n">
        <v>49</v>
      </c>
      <c r="D64" s="8" t="n">
        <v>7</v>
      </c>
      <c r="E64" s="8" t="n">
        <v>4</v>
      </c>
      <c r="F64" s="1" t="n">
        <v>1.79175946922806</v>
      </c>
      <c r="G64" s="1" t="n">
        <v>0.913524440877039</v>
      </c>
      <c r="J64" s="13"/>
      <c r="K64" s="13"/>
      <c r="L64" s="13"/>
      <c r="M64" s="13"/>
    </row>
    <row r="65" s="1" customFormat="true" ht="15" hidden="false" customHeight="false" outlineLevel="0" collapsed="false">
      <c r="A65" s="1" t="n">
        <v>1982</v>
      </c>
      <c r="B65" s="7" t="s">
        <v>83</v>
      </c>
      <c r="C65" s="1" t="n">
        <v>50</v>
      </c>
      <c r="D65" s="8" t="n">
        <v>7</v>
      </c>
      <c r="E65" s="8" t="n">
        <v>4</v>
      </c>
      <c r="F65" s="1" t="n">
        <v>4.22244456484942</v>
      </c>
      <c r="G65" s="1" t="n">
        <v>0.914586441820385</v>
      </c>
      <c r="J65" s="9"/>
      <c r="K65" s="9"/>
      <c r="L65" s="9"/>
      <c r="M65" s="13"/>
    </row>
    <row r="66" s="1" customFormat="true" ht="15" hidden="false" customHeight="false" outlineLevel="0" collapsed="false">
      <c r="A66" s="1" t="n">
        <v>1982</v>
      </c>
      <c r="B66" s="7" t="s">
        <v>83</v>
      </c>
      <c r="C66" s="1" t="n">
        <v>50</v>
      </c>
      <c r="D66" s="8" t="n">
        <v>7</v>
      </c>
      <c r="E66" s="8" t="n">
        <v>5</v>
      </c>
      <c r="F66" s="1" t="n">
        <v>2.65675690671466</v>
      </c>
      <c r="G66" s="1" t="n">
        <v>0.701922273735191</v>
      </c>
      <c r="J66" s="13"/>
      <c r="K66" s="13"/>
      <c r="L66" s="13"/>
      <c r="M66" s="13"/>
    </row>
    <row r="67" s="1" customFormat="true" ht="15" hidden="false" customHeight="false" outlineLevel="0" collapsed="false">
      <c r="A67" s="1" t="n">
        <v>1982</v>
      </c>
      <c r="B67" s="7" t="s">
        <v>83</v>
      </c>
      <c r="C67" s="1" t="n">
        <v>50</v>
      </c>
      <c r="D67" s="8" t="n">
        <v>4</v>
      </c>
      <c r="E67" s="8" t="n">
        <v>5</v>
      </c>
      <c r="F67" s="1" t="n">
        <f aca="false">F66-F65</f>
        <v>-1.56568765813476</v>
      </c>
      <c r="G67" s="1" t="n">
        <f aca="false">SQRT(G66^2+G65^2)</f>
        <v>1.1528934200208</v>
      </c>
      <c r="J67" s="13"/>
      <c r="K67" s="13"/>
      <c r="L67" s="13"/>
      <c r="M67" s="13"/>
    </row>
    <row r="68" s="1" customFormat="true" ht="15" hidden="false" customHeight="false" outlineLevel="0" collapsed="false">
      <c r="A68" s="1" t="n">
        <v>1983</v>
      </c>
      <c r="B68" s="7" t="s">
        <v>84</v>
      </c>
      <c r="C68" s="1" t="n">
        <v>51</v>
      </c>
      <c r="D68" s="8" t="n">
        <v>7</v>
      </c>
      <c r="E68" s="8" t="n">
        <v>5</v>
      </c>
      <c r="F68" s="1" t="n">
        <v>2.79300390698237</v>
      </c>
      <c r="G68" s="1" t="n">
        <v>1.51277948998257</v>
      </c>
      <c r="J68" s="13"/>
      <c r="K68" s="13"/>
      <c r="L68" s="13"/>
      <c r="M68" s="13"/>
    </row>
    <row r="69" s="1" customFormat="true" ht="15" hidden="false" customHeight="false" outlineLevel="0" collapsed="false">
      <c r="A69" s="1" t="n">
        <v>1985</v>
      </c>
      <c r="B69" s="7" t="s">
        <v>85</v>
      </c>
      <c r="C69" s="1" t="n">
        <v>52</v>
      </c>
      <c r="D69" s="8" t="n">
        <v>7</v>
      </c>
      <c r="E69" s="8" t="n">
        <v>5</v>
      </c>
      <c r="F69" s="1" t="n">
        <v>2.10900034392138</v>
      </c>
      <c r="G69" s="1" t="n">
        <v>0.494882648486941</v>
      </c>
      <c r="J69" s="13"/>
      <c r="K69" s="13"/>
      <c r="L69" s="13"/>
      <c r="M69" s="16"/>
    </row>
    <row r="70" s="11" customFormat="true" ht="15" hidden="false" customHeight="false" outlineLevel="0" collapsed="false">
      <c r="A70" s="11" t="n">
        <v>1989</v>
      </c>
      <c r="B70" s="7" t="s">
        <v>86</v>
      </c>
      <c r="C70" s="1" t="n">
        <v>53</v>
      </c>
      <c r="D70" s="8" t="n">
        <v>7</v>
      </c>
      <c r="E70" s="12" t="n">
        <v>9</v>
      </c>
      <c r="F70" s="1" t="n">
        <v>3.25809653802148</v>
      </c>
      <c r="G70" s="1" t="n">
        <v>1.11500869751061</v>
      </c>
      <c r="H70" s="1"/>
      <c r="I70" s="1"/>
      <c r="J70" s="14"/>
      <c r="K70" s="14"/>
      <c r="L70" s="14"/>
      <c r="M70" s="13"/>
    </row>
    <row r="71" s="1" customFormat="true" ht="15" hidden="false" customHeight="false" outlineLevel="0" collapsed="false">
      <c r="A71" s="11" t="n">
        <v>1983</v>
      </c>
      <c r="B71" s="7" t="s">
        <v>87</v>
      </c>
      <c r="C71" s="1" t="n">
        <v>54</v>
      </c>
      <c r="D71" s="8" t="n">
        <v>8</v>
      </c>
      <c r="E71" s="8" t="n">
        <v>2</v>
      </c>
      <c r="F71" s="1" t="n">
        <v>-0.116533816255952</v>
      </c>
      <c r="G71" s="1" t="n">
        <v>0.814828483464032</v>
      </c>
      <c r="J71" s="13"/>
      <c r="K71" s="15"/>
      <c r="L71" s="15"/>
      <c r="M71" s="13"/>
    </row>
    <row r="72" s="1" customFormat="true" ht="15" hidden="false" customHeight="false" outlineLevel="0" collapsed="false">
      <c r="A72" s="11" t="n">
        <v>1986</v>
      </c>
      <c r="B72" s="7" t="s">
        <v>88</v>
      </c>
      <c r="C72" s="1" t="n">
        <v>55</v>
      </c>
      <c r="D72" s="8" t="n">
        <v>8</v>
      </c>
      <c r="E72" s="8" t="n">
        <v>2</v>
      </c>
      <c r="F72" s="1" t="n">
        <v>1.1999647829284</v>
      </c>
      <c r="G72" s="1" t="n">
        <v>1.69328949180617</v>
      </c>
      <c r="J72" s="16"/>
      <c r="K72" s="14"/>
      <c r="L72" s="14"/>
      <c r="M72" s="13"/>
    </row>
    <row r="73" s="1" customFormat="true" ht="15" hidden="false" customHeight="false" outlineLevel="0" collapsed="false">
      <c r="A73" s="11" t="n">
        <v>1979</v>
      </c>
      <c r="B73" s="7" t="s">
        <v>89</v>
      </c>
      <c r="C73" s="1" t="n">
        <v>56</v>
      </c>
      <c r="D73" s="1" t="n">
        <v>21</v>
      </c>
      <c r="E73" s="8" t="n">
        <v>2</v>
      </c>
      <c r="F73" s="1" t="n">
        <v>-0.544727175441672</v>
      </c>
      <c r="G73" s="1" t="n">
        <v>1.06489471170807</v>
      </c>
      <c r="J73" s="13"/>
      <c r="K73" s="15"/>
      <c r="L73" s="15"/>
      <c r="M73" s="13"/>
    </row>
    <row r="74" s="1" customFormat="true" ht="15" hidden="false" customHeight="false" outlineLevel="0" collapsed="false">
      <c r="A74" s="11" t="n">
        <v>1973</v>
      </c>
      <c r="B74" s="7" t="s">
        <v>90</v>
      </c>
      <c r="C74" s="1" t="n">
        <v>57</v>
      </c>
      <c r="D74" s="8" t="n">
        <v>2</v>
      </c>
      <c r="E74" s="1" t="n">
        <v>22</v>
      </c>
      <c r="F74" s="1" t="n">
        <v>-0.7339691750802</v>
      </c>
      <c r="G74" s="1" t="n">
        <v>0.799870973451314</v>
      </c>
      <c r="J74" s="13"/>
      <c r="K74" s="13"/>
      <c r="L74" s="13"/>
      <c r="M74" s="13"/>
    </row>
    <row r="75" s="1" customFormat="true" ht="15" hidden="false" customHeight="false" outlineLevel="0" collapsed="false">
      <c r="A75" s="11" t="n">
        <v>1997</v>
      </c>
      <c r="B75" s="7" t="s">
        <v>91</v>
      </c>
      <c r="C75" s="1" t="n">
        <v>58</v>
      </c>
      <c r="D75" s="8" t="n">
        <v>4</v>
      </c>
      <c r="E75" s="1" t="n">
        <v>24</v>
      </c>
      <c r="F75" s="1" t="n">
        <v>0.357674444271816</v>
      </c>
      <c r="G75" s="1" t="n">
        <v>0.252401274669163</v>
      </c>
      <c r="J75" s="13"/>
      <c r="K75" s="13"/>
      <c r="L75" s="13"/>
      <c r="M75" s="13"/>
    </row>
    <row r="76" s="1" customFormat="true" ht="15" hidden="false" customHeight="false" outlineLevel="0" collapsed="false">
      <c r="A76" s="11" t="n">
        <v>1986</v>
      </c>
      <c r="B76" s="7" t="s">
        <v>92</v>
      </c>
      <c r="C76" s="1" t="n">
        <v>59</v>
      </c>
      <c r="D76" s="8" t="n">
        <v>5</v>
      </c>
      <c r="E76" s="12" t="n">
        <v>15</v>
      </c>
      <c r="F76" s="1" t="n">
        <v>-0.27443684570176</v>
      </c>
      <c r="G76" s="1" t="n">
        <v>0.60558523487215</v>
      </c>
      <c r="J76" s="9"/>
      <c r="K76" s="9"/>
      <c r="L76" s="9"/>
      <c r="M76" s="16"/>
    </row>
    <row r="77" s="11" customFormat="true" ht="15" hidden="false" customHeight="false" outlineLevel="0" collapsed="false">
      <c r="A77" s="11" t="n">
        <v>1983</v>
      </c>
      <c r="B77" s="1" t="s">
        <v>93</v>
      </c>
      <c r="C77" s="1" t="n">
        <v>60</v>
      </c>
      <c r="D77" s="1" t="n">
        <v>1</v>
      </c>
      <c r="E77" s="1" t="n">
        <v>16</v>
      </c>
      <c r="F77" s="1" t="n">
        <v>2.11021320034659</v>
      </c>
      <c r="G77" s="1" t="n">
        <v>1.17695677060038</v>
      </c>
      <c r="H77" s="1"/>
      <c r="I77" s="1"/>
      <c r="J77" s="13"/>
      <c r="K77" s="13"/>
      <c r="L77" s="13"/>
      <c r="M77" s="13"/>
    </row>
  </sheetData>
  <mergeCells count="1">
    <mergeCell ref="J2:K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9.14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9.14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983017-22B3-4CAD-AF48-2ADD51619EA7}"/>
</file>

<file path=customXml/itemProps2.xml><?xml version="1.0" encoding="utf-8"?>
<ds:datastoreItem xmlns:ds="http://schemas.openxmlformats.org/officeDocument/2006/customXml" ds:itemID="{5F571EDF-B7A7-4408-87CB-D2C2C82E8FE2}"/>
</file>

<file path=customXml/itemProps3.xml><?xml version="1.0" encoding="utf-8"?>
<ds:datastoreItem xmlns:ds="http://schemas.openxmlformats.org/officeDocument/2006/customXml" ds:itemID="{D01C5748-55CD-411E-93AF-D91C491E819E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  <Company>Hewlett-Packard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</dc:creator>
  <dc:description/>
  <cp:lastModifiedBy>Theodore Papakonstantinou</cp:lastModifiedBy>
  <cp:revision>1</cp:revision>
  <dcterms:created xsi:type="dcterms:W3CDTF">2011-01-10T18:11:05Z</dcterms:created>
  <dcterms:modified xsi:type="dcterms:W3CDTF">2019-04-12T16:50:18Z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Hewlett-Packard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ContentTypeId">
    <vt:lpwstr>0x0101002D837B8920D00D4A8EFA68CF1C62BCD5</vt:lpwstr>
  </property>
</Properties>
</file>