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<sst xmlns="http://schemas.openxmlformats.org/spreadsheetml/2006/main" count="51" uniqueCount="47">
  <si>
    <t xml:space="preserve">study year</t>
  </si>
  <si>
    <t xml:space="preserve">Study (name)</t>
  </si>
  <si>
    <t xml:space="preserve">Study id</t>
  </si>
  <si>
    <t xml:space="preserve">id</t>
  </si>
  <si>
    <t xml:space="preserve">t1</t>
  </si>
  <si>
    <t xml:space="preserve">t2</t>
  </si>
  <si>
    <t xml:space="preserve">effect</t>
  </si>
  <si>
    <t xml:space="preserve">CIL</t>
  </si>
  <si>
    <t xml:space="preserve">CIH</t>
  </si>
  <si>
    <t xml:space="preserve">se</t>
  </si>
  <si>
    <t xml:space="preserve">Beneficial</t>
  </si>
  <si>
    <r>
      <rPr>
        <b val="true"/>
        <sz val="11"/>
        <color rgb="FF000000"/>
        <rFont val="Calibri"/>
        <family val="2"/>
        <charset val="161"/>
      </rPr>
      <t xml:space="preserve">Outcome: </t>
    </r>
    <r>
      <rPr>
        <sz val="11"/>
        <color rgb="FF000000"/>
        <rFont val="Calibri"/>
        <family val="2"/>
        <charset val="1"/>
      </rPr>
      <t xml:space="preserve">treatment effects of enamel matrix derivatives with other regenerative materials for infrabony lesions - probing pocket depth reduction</t>
    </r>
  </si>
  <si>
    <t xml:space="preserve">Bokan 2006</t>
  </si>
  <si>
    <t xml:space="preserve">Treatments</t>
  </si>
  <si>
    <t xml:space="preserve">EMD</t>
  </si>
  <si>
    <t xml:space="preserve">EMD+Bone Grafts</t>
  </si>
  <si>
    <t xml:space="preserve">EMD+Bone Grafts+PRP</t>
  </si>
  <si>
    <t xml:space="preserve">Sculean 2005</t>
  </si>
  <si>
    <t xml:space="preserve">Flap op</t>
  </si>
  <si>
    <t xml:space="preserve">Zucchelli 2003</t>
  </si>
  <si>
    <t xml:space="preserve">EMD+GTR</t>
  </si>
  <si>
    <t xml:space="preserve">Guida 2007</t>
  </si>
  <si>
    <t xml:space="preserve">EMD+Bone Grafts+GTR</t>
  </si>
  <si>
    <t xml:space="preserve">Francetti 2004</t>
  </si>
  <si>
    <t xml:space="preserve">Francetti 2005</t>
  </si>
  <si>
    <t xml:space="preserve">Froum 2001</t>
  </si>
  <si>
    <t xml:space="preserve">Heijl 1997</t>
  </si>
  <si>
    <t xml:space="preserve">MD=effect</t>
  </si>
  <si>
    <t xml:space="preserve">Okuda 2000</t>
  </si>
  <si>
    <t xml:space="preserve">Pontoriero 1999</t>
  </si>
  <si>
    <t xml:space="preserve">Rosing 2005</t>
  </si>
  <si>
    <t xml:space="preserve">Sculean 2001b</t>
  </si>
  <si>
    <t xml:space="preserve">Silvestri 2000</t>
  </si>
  <si>
    <t xml:space="preserve">Tonetti 2002</t>
  </si>
  <si>
    <t xml:space="preserve">Zucchelli 2002</t>
  </si>
  <si>
    <t xml:space="preserve">Wachtel 2003</t>
  </si>
  <si>
    <t xml:space="preserve">Dori 2008</t>
  </si>
  <si>
    <t xml:space="preserve">Minabe 2002</t>
  </si>
  <si>
    <t xml:space="preserve">Sipos 2005</t>
  </si>
  <si>
    <t xml:space="preserve">Camargo 2001</t>
  </si>
  <si>
    <t xml:space="preserve">Chambrone 2007</t>
  </si>
  <si>
    <t xml:space="preserve">Jepsen 2008</t>
  </si>
  <si>
    <t xml:space="preserve">Lekovic 2000</t>
  </si>
  <si>
    <t xml:space="preserve">Velasquez-Plata 2002</t>
  </si>
  <si>
    <t xml:space="preserve">Gurinsky 2004</t>
  </si>
  <si>
    <t xml:space="preserve">Kuru 2006</t>
  </si>
  <si>
    <t xml:space="preserve">Lekovic 2001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</si>
</sst>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0000"/>
  </numFmts>
  <fonts count="6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5B3D7"/>
        <bgColor rgb="FF9999FF"/>
      </patternFill>
    </fill>
    <fill>
      <patternFill patternType="solid">
        <fgColor rgb="FFE6B9B8"/>
        <bgColor rgb="FFFFCC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1" activeCellId="0" sqref="G1"/>
    </sheetView>
  </sheetViews>
  <sheetFormatPr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23.01"/>
    <col collapsed="false" customWidth="true" hidden="false" outlineLevel="0" max="5" min="3" style="0" width="11.57"/>
    <col collapsed="false" customWidth="true" hidden="false" outlineLevel="0" max="6" min="6" style="0" width="11.71"/>
    <col collapsed="false" customWidth="true" hidden="false" outlineLevel="0" max="9" min="7" style="1" width="13.57"/>
    <col collapsed="false" customWidth="false" hidden="false" outlineLevel="0" max="10" min="10" style="1" width="11.42"/>
    <col collapsed="false" customWidth="true" hidden="false" outlineLevel="0" max="11" min="11" style="0" width="15.57"/>
    <col collapsed="false" customWidth="true" hidden="false" outlineLevel="0" max="12" min="12" style="0" width="10"/>
    <col collapsed="false" customWidth="true" hidden="false" outlineLevel="0" max="13" min="13" style="0" width="9.14"/>
    <col collapsed="false" customWidth="true" hidden="false" outlineLevel="0" max="14" min="14" style="0" width="10.42"/>
    <col collapsed="false" customWidth="true" hidden="false" outlineLevel="0" max="1025" min="15" style="0" width="9.14"/>
  </cols>
  <sheetData>
    <row r="1" s="2" customFormat="tru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L1" s="2" t="s">
        <v>10</v>
      </c>
      <c r="M1" s="2" t="s">
        <v>11</v>
      </c>
    </row>
    <row r="2" customFormat="false" ht="15" hidden="false" customHeight="false" outlineLevel="0" collapsed="false">
      <c r="A2" s="0" t="n">
        <v>2006</v>
      </c>
      <c r="B2" s="1" t="s">
        <v>12</v>
      </c>
      <c r="C2" s="1" t="n">
        <v>1</v>
      </c>
      <c r="D2" s="1" t="n">
        <v>1</v>
      </c>
      <c r="E2" s="1" t="n">
        <v>1</v>
      </c>
      <c r="F2" s="1" t="n">
        <v>2</v>
      </c>
      <c r="G2" s="1" t="n">
        <v>0.2</v>
      </c>
      <c r="H2" s="1" t="n">
        <v>-0.6</v>
      </c>
      <c r="I2" s="1" t="n">
        <v>1</v>
      </c>
      <c r="J2" s="1" t="n">
        <f aca="false">(I2-H2)/3.92</f>
        <v>0.408163265306122</v>
      </c>
      <c r="M2" s="5" t="s">
        <v>13</v>
      </c>
      <c r="N2" s="5"/>
      <c r="O2" s="6" t="n">
        <v>1</v>
      </c>
      <c r="P2" s="6" t="s">
        <v>14</v>
      </c>
      <c r="Q2" s="6"/>
      <c r="R2" s="6"/>
    </row>
    <row r="3" customFormat="false" ht="15" hidden="false" customHeight="false" outlineLevel="0" collapsed="false">
      <c r="A3" s="0" t="n">
        <v>2006</v>
      </c>
      <c r="B3" s="1" t="s">
        <v>12</v>
      </c>
      <c r="C3" s="1" t="n">
        <v>1</v>
      </c>
      <c r="D3" s="1" t="n">
        <v>1</v>
      </c>
      <c r="E3" s="1" t="n">
        <v>1</v>
      </c>
      <c r="F3" s="1" t="n">
        <v>4</v>
      </c>
      <c r="G3" s="1" t="n">
        <v>-0.1</v>
      </c>
      <c r="H3" s="1" t="n">
        <v>-1.1</v>
      </c>
      <c r="I3" s="1" t="n">
        <v>0.9</v>
      </c>
      <c r="J3" s="1" t="n">
        <f aca="false">(I3-H3)/3.92</f>
        <v>0.510204081632653</v>
      </c>
      <c r="M3" s="7"/>
      <c r="N3" s="7"/>
      <c r="O3" s="6" t="n">
        <v>2</v>
      </c>
      <c r="P3" s="8" t="s">
        <v>15</v>
      </c>
      <c r="Q3" s="6"/>
      <c r="R3" s="6"/>
    </row>
    <row r="4" customFormat="false" ht="15" hidden="false" customHeight="false" outlineLevel="0" collapsed="false">
      <c r="A4" s="0" t="n">
        <v>2006</v>
      </c>
      <c r="B4" s="1" t="s">
        <v>12</v>
      </c>
      <c r="C4" s="1" t="n">
        <v>1</v>
      </c>
      <c r="D4" s="1" t="n">
        <v>1</v>
      </c>
      <c r="E4" s="1" t="n">
        <v>2</v>
      </c>
      <c r="F4" s="1" t="n">
        <v>4</v>
      </c>
      <c r="G4" s="1" t="n">
        <v>0.3</v>
      </c>
      <c r="H4" s="1" t="n">
        <f aca="false">G4-1.96*J4</f>
        <v>-0.98062484748657</v>
      </c>
      <c r="I4" s="1" t="n">
        <f aca="false">G4+1.96*J4</f>
        <v>1.58062484748657</v>
      </c>
      <c r="J4" s="1" t="n">
        <f aca="false">SQRT(J2^2+J3^2)</f>
        <v>0.653380024227842</v>
      </c>
      <c r="M4" s="7"/>
      <c r="N4" s="7"/>
      <c r="O4" s="8" t="n">
        <v>3</v>
      </c>
      <c r="P4" s="8" t="s">
        <v>16</v>
      </c>
      <c r="Q4" s="6"/>
      <c r="R4" s="6"/>
    </row>
    <row r="5" customFormat="false" ht="15" hidden="false" customHeight="false" outlineLevel="0" collapsed="false">
      <c r="A5" s="0" t="n">
        <v>2005</v>
      </c>
      <c r="B5" s="1" t="s">
        <v>17</v>
      </c>
      <c r="C5" s="1" t="n">
        <v>2</v>
      </c>
      <c r="D5" s="1" t="n">
        <v>2</v>
      </c>
      <c r="E5" s="1" t="n">
        <v>1</v>
      </c>
      <c r="F5" s="1" t="n">
        <v>2</v>
      </c>
      <c r="G5" s="1" t="n">
        <v>-0.3</v>
      </c>
      <c r="H5" s="1" t="n">
        <v>-1.53</v>
      </c>
      <c r="I5" s="1" t="n">
        <v>0.93</v>
      </c>
      <c r="J5" s="1" t="n">
        <f aca="false">(I5-H5)/3.92</f>
        <v>0.627551020408163</v>
      </c>
      <c r="M5" s="7"/>
      <c r="N5" s="7"/>
      <c r="O5" s="8" t="n">
        <v>4</v>
      </c>
      <c r="P5" s="8" t="s">
        <v>18</v>
      </c>
      <c r="Q5" s="6"/>
      <c r="R5" s="6"/>
    </row>
    <row r="6" customFormat="false" ht="15" hidden="false" customHeight="false" outlineLevel="0" collapsed="false">
      <c r="A6" s="0" t="n">
        <v>2003</v>
      </c>
      <c r="B6" s="1" t="s">
        <v>19</v>
      </c>
      <c r="C6" s="1" t="n">
        <v>3</v>
      </c>
      <c r="D6" s="1" t="n">
        <v>3</v>
      </c>
      <c r="E6" s="1" t="n">
        <v>1</v>
      </c>
      <c r="F6" s="1" t="n">
        <v>2</v>
      </c>
      <c r="G6" s="1" t="n">
        <v>0.4</v>
      </c>
      <c r="H6" s="1" t="n">
        <v>0.09</v>
      </c>
      <c r="I6" s="1" t="n">
        <v>0.71</v>
      </c>
      <c r="J6" s="1" t="n">
        <f aca="false">(I6-H6)/3.92</f>
        <v>0.158163265306122</v>
      </c>
      <c r="M6" s="7"/>
      <c r="N6" s="7"/>
      <c r="O6" s="8" t="n">
        <v>5</v>
      </c>
      <c r="P6" s="8" t="s">
        <v>20</v>
      </c>
      <c r="Q6" s="6"/>
      <c r="R6" s="6"/>
    </row>
    <row r="7" customFormat="false" ht="15" hidden="false" customHeight="false" outlineLevel="0" collapsed="false">
      <c r="A7" s="0" t="n">
        <v>2007</v>
      </c>
      <c r="B7" s="1" t="s">
        <v>21</v>
      </c>
      <c r="C7" s="1" t="n">
        <v>4</v>
      </c>
      <c r="D7" s="1" t="n">
        <v>4</v>
      </c>
      <c r="E7" s="1" t="n">
        <v>1</v>
      </c>
      <c r="F7" s="1" t="n">
        <v>2</v>
      </c>
      <c r="G7" s="1" t="n">
        <v>-0.5</v>
      </c>
      <c r="H7" s="1" t="n">
        <v>-1.77</v>
      </c>
      <c r="I7" s="1" t="n">
        <v>0.77</v>
      </c>
      <c r="J7" s="1" t="n">
        <f aca="false">(I7-H7)/3.92</f>
        <v>0.647959183673469</v>
      </c>
      <c r="M7" s="7"/>
      <c r="N7" s="7"/>
      <c r="O7" s="8" t="n">
        <v>6</v>
      </c>
      <c r="P7" s="8" t="s">
        <v>22</v>
      </c>
      <c r="Q7" s="6"/>
      <c r="R7" s="6"/>
    </row>
    <row r="8" customFormat="false" ht="15" hidden="false" customHeight="false" outlineLevel="0" collapsed="false">
      <c r="A8" s="0" t="n">
        <v>2004</v>
      </c>
      <c r="B8" s="1" t="s">
        <v>23</v>
      </c>
      <c r="C8" s="1" t="n">
        <v>5</v>
      </c>
      <c r="D8" s="1" t="n">
        <v>5</v>
      </c>
      <c r="E8" s="1" t="n">
        <v>1</v>
      </c>
      <c r="F8" s="1" t="n">
        <v>4</v>
      </c>
      <c r="G8" s="1" t="n">
        <v>-2.14</v>
      </c>
      <c r="H8" s="1" t="n">
        <v>-3.3</v>
      </c>
      <c r="I8" s="1" t="n">
        <v>-0.98</v>
      </c>
      <c r="J8" s="1" t="n">
        <f aca="false">(I8-H8)/3.92</f>
        <v>0.591836734693878</v>
      </c>
      <c r="M8" s="2"/>
      <c r="N8" s="2"/>
    </row>
    <row r="9" customFormat="false" ht="15" hidden="false" customHeight="false" outlineLevel="0" collapsed="false">
      <c r="A9" s="0" t="n">
        <v>2005</v>
      </c>
      <c r="B9" s="1" t="s">
        <v>24</v>
      </c>
      <c r="C9" s="1" t="n">
        <v>6</v>
      </c>
      <c r="D9" s="1" t="n">
        <v>6</v>
      </c>
      <c r="E9" s="1" t="n">
        <v>1</v>
      </c>
      <c r="F9" s="1" t="n">
        <v>4</v>
      </c>
      <c r="G9" s="1" t="n">
        <v>-1</v>
      </c>
      <c r="H9" s="1" t="n">
        <v>-1.69</v>
      </c>
      <c r="I9" s="1" t="n">
        <v>-0.31</v>
      </c>
      <c r="J9" s="1" t="n">
        <f aca="false">(I9-H9)/3.92</f>
        <v>0.352040816326531</v>
      </c>
    </row>
    <row r="10" customFormat="false" ht="15" hidden="false" customHeight="false" outlineLevel="0" collapsed="false">
      <c r="A10" s="0" t="n">
        <v>2001</v>
      </c>
      <c r="B10" s="1" t="s">
        <v>25</v>
      </c>
      <c r="C10" s="1" t="n">
        <v>7</v>
      </c>
      <c r="D10" s="1" t="n">
        <v>7</v>
      </c>
      <c r="E10" s="1" t="n">
        <v>1</v>
      </c>
      <c r="F10" s="1" t="n">
        <v>4</v>
      </c>
      <c r="G10" s="1" t="n">
        <v>-2.7</v>
      </c>
      <c r="H10" s="1" t="n">
        <v>-3.15</v>
      </c>
      <c r="I10" s="1" t="n">
        <v>-2.25</v>
      </c>
      <c r="J10" s="1" t="n">
        <f aca="false">(I10-H10)/3.92</f>
        <v>0.229591836734694</v>
      </c>
    </row>
    <row r="11" customFormat="false" ht="15" hidden="false" customHeight="false" outlineLevel="0" collapsed="false">
      <c r="A11" s="0" t="n">
        <v>1997</v>
      </c>
      <c r="B11" s="1" t="s">
        <v>26</v>
      </c>
      <c r="C11" s="1" t="n">
        <v>8</v>
      </c>
      <c r="D11" s="1" t="n">
        <v>8</v>
      </c>
      <c r="E11" s="1" t="n">
        <v>1</v>
      </c>
      <c r="F11" s="1" t="n">
        <v>4</v>
      </c>
      <c r="G11" s="1" t="n">
        <v>-0.7</v>
      </c>
      <c r="H11" s="1" t="n">
        <v>-1.37</v>
      </c>
      <c r="I11" s="1" t="n">
        <v>-0.03</v>
      </c>
      <c r="J11" s="1" t="n">
        <f aca="false">(I11-H11)/3.92</f>
        <v>0.341836734693878</v>
      </c>
      <c r="K11" s="1"/>
      <c r="L11" s="1"/>
      <c r="N11" s="9" t="s">
        <v>27</v>
      </c>
    </row>
    <row r="12" customFormat="false" ht="15" hidden="false" customHeight="false" outlineLevel="0" collapsed="false">
      <c r="A12" s="0" t="n">
        <v>2000</v>
      </c>
      <c r="B12" s="1" t="s">
        <v>28</v>
      </c>
      <c r="C12" s="1" t="n">
        <v>9</v>
      </c>
      <c r="D12" s="1" t="n">
        <v>9</v>
      </c>
      <c r="E12" s="1" t="n">
        <v>1</v>
      </c>
      <c r="F12" s="1" t="n">
        <v>4</v>
      </c>
      <c r="G12" s="1" t="n">
        <v>-0.78</v>
      </c>
      <c r="H12" s="1" t="n">
        <v>-1.41</v>
      </c>
      <c r="I12" s="1" t="n">
        <v>-0.15</v>
      </c>
      <c r="J12" s="1" t="n">
        <f aca="false">(I12-H12)/3.92</f>
        <v>0.321428571428571</v>
      </c>
    </row>
    <row r="13" customFormat="false" ht="15" hidden="false" customHeight="false" outlineLevel="0" collapsed="false">
      <c r="A13" s="0" t="n">
        <v>1999</v>
      </c>
      <c r="B13" s="1" t="s">
        <v>29</v>
      </c>
      <c r="C13" s="1" t="n">
        <v>10</v>
      </c>
      <c r="D13" s="1" t="n">
        <v>10</v>
      </c>
      <c r="E13" s="1" t="n">
        <v>1</v>
      </c>
      <c r="F13" s="1" t="n">
        <v>4</v>
      </c>
      <c r="G13" s="1" t="n">
        <v>-0.9</v>
      </c>
      <c r="H13" s="1" t="n">
        <v>-1.92</v>
      </c>
      <c r="I13" s="1" t="n">
        <v>0.12</v>
      </c>
      <c r="J13" s="1" t="n">
        <f aca="false">(I13-H13)/3.92</f>
        <v>0.520408163265306</v>
      </c>
    </row>
    <row r="14" customFormat="false" ht="15" hidden="false" customHeight="false" outlineLevel="0" collapsed="false">
      <c r="A14" s="0" t="n">
        <v>2005</v>
      </c>
      <c r="B14" s="1" t="s">
        <v>30</v>
      </c>
      <c r="C14" s="1" t="n">
        <v>11</v>
      </c>
      <c r="D14" s="1" t="n">
        <v>11</v>
      </c>
      <c r="E14" s="1" t="n">
        <v>1</v>
      </c>
      <c r="F14" s="1" t="n">
        <v>4</v>
      </c>
      <c r="G14" s="1" t="n">
        <v>0.22</v>
      </c>
      <c r="H14" s="1" t="n">
        <v>-0.92</v>
      </c>
      <c r="I14" s="1" t="n">
        <v>1.36</v>
      </c>
      <c r="J14" s="1" t="n">
        <f aca="false">(I14-H14)/3.92</f>
        <v>0.581632653061224</v>
      </c>
    </row>
    <row r="15" customFormat="false" ht="15" hidden="false" customHeight="false" outlineLevel="0" collapsed="false">
      <c r="A15" s="0" t="n">
        <v>2001</v>
      </c>
      <c r="B15" s="1" t="s">
        <v>31</v>
      </c>
      <c r="C15" s="1" t="n">
        <v>12</v>
      </c>
      <c r="D15" s="1" t="n">
        <v>12</v>
      </c>
      <c r="E15" s="1" t="n">
        <v>1</v>
      </c>
      <c r="F15" s="1" t="n">
        <v>4</v>
      </c>
      <c r="G15" s="1" t="n">
        <v>-0.4</v>
      </c>
      <c r="H15" s="1" t="n">
        <v>-1.56</v>
      </c>
      <c r="I15" s="1" t="n">
        <v>0.76</v>
      </c>
      <c r="J15" s="1" t="n">
        <f aca="false">(I15-H15)/3.92</f>
        <v>0.591836734693878</v>
      </c>
    </row>
    <row r="16" customFormat="false" ht="15" hidden="false" customHeight="false" outlineLevel="0" collapsed="false">
      <c r="A16" s="0" t="n">
        <v>2001</v>
      </c>
      <c r="B16" s="1" t="s">
        <v>31</v>
      </c>
      <c r="C16" s="1" t="n">
        <v>12</v>
      </c>
      <c r="D16" s="1" t="n">
        <v>12</v>
      </c>
      <c r="E16" s="1" t="n">
        <v>1</v>
      </c>
      <c r="F16" s="1" t="n">
        <v>5</v>
      </c>
      <c r="G16" s="1" t="n">
        <v>0.2</v>
      </c>
      <c r="H16" s="1" t="n">
        <v>-0.96</v>
      </c>
      <c r="I16" s="1" t="n">
        <v>1.36</v>
      </c>
      <c r="J16" s="1" t="n">
        <f aca="false">(I16-H16)/3.92</f>
        <v>0.591836734693878</v>
      </c>
    </row>
    <row r="17" customFormat="false" ht="15" hidden="false" customHeight="false" outlineLevel="0" collapsed="false">
      <c r="A17" s="0" t="n">
        <v>2001</v>
      </c>
      <c r="B17" s="1" t="s">
        <v>31</v>
      </c>
      <c r="C17" s="1" t="n">
        <v>12</v>
      </c>
      <c r="D17" s="1" t="n">
        <v>12</v>
      </c>
      <c r="E17" s="1" t="n">
        <v>4</v>
      </c>
      <c r="F17" s="1" t="n">
        <v>5</v>
      </c>
      <c r="G17" s="1" t="n">
        <v>-0.6</v>
      </c>
      <c r="H17" s="1" t="n">
        <f aca="false">G17-1.96*J17</f>
        <v>-2.24048773235279</v>
      </c>
      <c r="I17" s="1" t="n">
        <f aca="false">G17+1.96*J17</f>
        <v>1.04048773235279</v>
      </c>
      <c r="J17" s="1" t="n">
        <f aca="false">SQRT(J15^2+J16^2)</f>
        <v>0.836983536914689</v>
      </c>
    </row>
    <row r="18" customFormat="false" ht="15" hidden="false" customHeight="false" outlineLevel="0" collapsed="false">
      <c r="A18" s="0" t="n">
        <v>2000</v>
      </c>
      <c r="B18" s="1" t="s">
        <v>32</v>
      </c>
      <c r="C18" s="1" t="n">
        <v>13</v>
      </c>
      <c r="D18" s="1" t="n">
        <v>13</v>
      </c>
      <c r="E18" s="1" t="n">
        <v>1</v>
      </c>
      <c r="F18" s="1" t="n">
        <v>4</v>
      </c>
      <c r="G18" s="1" t="n">
        <v>-3.5</v>
      </c>
      <c r="H18" s="1" t="n">
        <v>-4.85</v>
      </c>
      <c r="I18" s="1" t="n">
        <v>-2.15</v>
      </c>
      <c r="J18" s="1" t="n">
        <f aca="false">(I18-H18)/3.92</f>
        <v>0.688775510204082</v>
      </c>
    </row>
    <row r="19" customFormat="false" ht="15" hidden="false" customHeight="false" outlineLevel="0" collapsed="false">
      <c r="A19" s="0" t="n">
        <v>2002</v>
      </c>
      <c r="B19" s="1" t="s">
        <v>33</v>
      </c>
      <c r="C19" s="1" t="n">
        <v>14</v>
      </c>
      <c r="D19" s="1" t="n">
        <v>14</v>
      </c>
      <c r="E19" s="1" t="n">
        <v>1</v>
      </c>
      <c r="F19" s="1" t="n">
        <v>4</v>
      </c>
      <c r="G19" s="1" t="n">
        <v>-0.6</v>
      </c>
      <c r="H19" s="1" t="n">
        <v>-1.11</v>
      </c>
      <c r="I19" s="1" t="n">
        <v>-0.09</v>
      </c>
      <c r="J19" s="1" t="n">
        <f aca="false">(I19-H19)/3.92</f>
        <v>0.260204081632653</v>
      </c>
    </row>
    <row r="20" customFormat="false" ht="15" hidden="false" customHeight="false" outlineLevel="0" collapsed="false">
      <c r="A20" s="0" t="n">
        <v>2002</v>
      </c>
      <c r="B20" s="1" t="s">
        <v>34</v>
      </c>
      <c r="C20" s="1" t="n">
        <v>15</v>
      </c>
      <c r="D20" s="1" t="n">
        <v>15</v>
      </c>
      <c r="E20" s="1" t="n">
        <v>1</v>
      </c>
      <c r="F20" s="1" t="n">
        <v>4</v>
      </c>
      <c r="G20" s="1" t="n">
        <v>-0.6</v>
      </c>
      <c r="H20" s="1" t="n">
        <v>-1.03</v>
      </c>
      <c r="I20" s="1" t="n">
        <v>-0.17</v>
      </c>
      <c r="J20" s="1" t="n">
        <f aca="false">(I20-H20)/3.92</f>
        <v>0.219387755102041</v>
      </c>
    </row>
    <row r="21" customFormat="false" ht="15" hidden="false" customHeight="false" outlineLevel="0" collapsed="false">
      <c r="A21" s="0" t="n">
        <v>2003</v>
      </c>
      <c r="B21" s="1" t="s">
        <v>35</v>
      </c>
      <c r="C21" s="1" t="n">
        <v>16</v>
      </c>
      <c r="D21" s="1" t="n">
        <v>16</v>
      </c>
      <c r="E21" s="1" t="n">
        <v>1</v>
      </c>
      <c r="F21" s="1" t="n">
        <v>4</v>
      </c>
      <c r="G21" s="1" t="n">
        <v>-1.8</v>
      </c>
      <c r="H21" s="1" t="n">
        <v>-2.86</v>
      </c>
      <c r="I21" s="1" t="n">
        <v>-0.74</v>
      </c>
      <c r="J21" s="1" t="n">
        <f aca="false">(I21-H21)/3.92</f>
        <v>0.540816326530612</v>
      </c>
    </row>
    <row r="22" customFormat="false" ht="15" hidden="false" customHeight="false" outlineLevel="0" collapsed="false">
      <c r="A22" s="0" t="n">
        <v>2008</v>
      </c>
      <c r="B22" s="1" t="s">
        <v>36</v>
      </c>
      <c r="C22" s="1" t="n">
        <v>17</v>
      </c>
      <c r="D22" s="1" t="n">
        <v>17</v>
      </c>
      <c r="E22" s="1" t="n">
        <v>2</v>
      </c>
      <c r="F22" s="1" t="n">
        <v>3</v>
      </c>
      <c r="G22" s="1" t="n">
        <v>-0.1</v>
      </c>
      <c r="H22" s="1" t="n">
        <v>-1.32</v>
      </c>
      <c r="I22" s="1" t="n">
        <v>1.12</v>
      </c>
      <c r="J22" s="1" t="n">
        <f aca="false">(I22-H22)/3.92</f>
        <v>0.622448979591837</v>
      </c>
    </row>
    <row r="23" customFormat="false" ht="15" hidden="false" customHeight="false" outlineLevel="0" collapsed="false">
      <c r="A23" s="0" t="n">
        <v>2002</v>
      </c>
      <c r="B23" s="1" t="s">
        <v>37</v>
      </c>
      <c r="C23" s="1" t="n">
        <v>18</v>
      </c>
      <c r="D23" s="1" t="n">
        <v>18</v>
      </c>
      <c r="E23" s="1" t="n">
        <v>1</v>
      </c>
      <c r="F23" s="1" t="n">
        <v>5</v>
      </c>
      <c r="G23" s="1" t="n">
        <v>0.5</v>
      </c>
      <c r="H23" s="1" t="n">
        <v>-0.36</v>
      </c>
      <c r="I23" s="1" t="n">
        <v>1.36</v>
      </c>
      <c r="J23" s="1" t="n">
        <f aca="false">(I23-H23)/3.92</f>
        <v>0.438775510204082</v>
      </c>
    </row>
    <row r="24" customFormat="false" ht="15" hidden="false" customHeight="false" outlineLevel="0" collapsed="false">
      <c r="A24" s="0" t="n">
        <v>2005</v>
      </c>
      <c r="B24" s="1" t="s">
        <v>38</v>
      </c>
      <c r="C24" s="1" t="n">
        <v>19</v>
      </c>
      <c r="D24" s="1" t="n">
        <v>19</v>
      </c>
      <c r="E24" s="1" t="n">
        <v>1</v>
      </c>
      <c r="F24" s="1" t="n">
        <v>5</v>
      </c>
      <c r="G24" s="1" t="n">
        <v>0.16</v>
      </c>
      <c r="H24" s="1" t="n">
        <v>-0.86</v>
      </c>
      <c r="I24" s="1" t="n">
        <v>1.18</v>
      </c>
      <c r="J24" s="1" t="n">
        <f aca="false">(I24-H24)/3.92</f>
        <v>0.520408163265306</v>
      </c>
    </row>
    <row r="25" customFormat="false" ht="15" hidden="false" customHeight="false" outlineLevel="0" collapsed="false">
      <c r="A25" s="0" t="n">
        <v>2001</v>
      </c>
      <c r="B25" s="1" t="s">
        <v>39</v>
      </c>
      <c r="C25" s="1" t="n">
        <v>20</v>
      </c>
      <c r="D25" s="1" t="n">
        <v>20</v>
      </c>
      <c r="E25" s="1" t="n">
        <v>4</v>
      </c>
      <c r="F25" s="1" t="n">
        <v>2</v>
      </c>
      <c r="G25" s="1" t="n">
        <v>2.32</v>
      </c>
      <c r="H25" s="1" t="n">
        <v>1.54</v>
      </c>
      <c r="I25" s="1" t="n">
        <v>3.1</v>
      </c>
      <c r="J25" s="1" t="n">
        <f aca="false">(I25-H25)/3.92</f>
        <v>0.397959183673469</v>
      </c>
    </row>
    <row r="26" customFormat="false" ht="15" hidden="false" customHeight="false" outlineLevel="0" collapsed="false">
      <c r="A26" s="0" t="n">
        <v>2007</v>
      </c>
      <c r="B26" s="1" t="s">
        <v>40</v>
      </c>
      <c r="C26" s="1" t="n">
        <v>21</v>
      </c>
      <c r="D26" s="1" t="n">
        <v>21</v>
      </c>
      <c r="E26" s="1" t="n">
        <v>1</v>
      </c>
      <c r="F26" s="1" t="n">
        <v>4</v>
      </c>
      <c r="G26" s="1" t="n">
        <v>0.33</v>
      </c>
      <c r="H26" s="1" t="n">
        <v>-0.47</v>
      </c>
      <c r="I26" s="1" t="n">
        <v>1.13</v>
      </c>
      <c r="J26" s="1" t="n">
        <f aca="false">(I26-H26)/3.92</f>
        <v>0.408163265306122</v>
      </c>
    </row>
    <row r="27" customFormat="false" ht="15" hidden="false" customHeight="false" outlineLevel="0" collapsed="false">
      <c r="A27" s="0" t="n">
        <v>2008</v>
      </c>
      <c r="B27" s="1" t="s">
        <v>41</v>
      </c>
      <c r="C27" s="1" t="n">
        <v>22</v>
      </c>
      <c r="D27" s="1" t="n">
        <v>22</v>
      </c>
      <c r="E27" s="1" t="n">
        <v>1</v>
      </c>
      <c r="F27" s="1" t="n">
        <v>2</v>
      </c>
      <c r="G27" s="1" t="n">
        <v>-0.62</v>
      </c>
      <c r="H27" s="1" t="n">
        <v>-1.44</v>
      </c>
      <c r="I27" s="1" t="n">
        <v>0.2</v>
      </c>
      <c r="J27" s="1" t="n">
        <f aca="false">(I27-H27)/3.92</f>
        <v>0.418367346938775</v>
      </c>
    </row>
    <row r="28" customFormat="false" ht="15" hidden="false" customHeight="false" outlineLevel="0" collapsed="false">
      <c r="A28" s="0" t="n">
        <v>2000</v>
      </c>
      <c r="B28" s="1" t="s">
        <v>42</v>
      </c>
      <c r="C28" s="1" t="n">
        <v>23</v>
      </c>
      <c r="D28" s="1" t="n">
        <v>23</v>
      </c>
      <c r="E28" s="1" t="n">
        <v>1</v>
      </c>
      <c r="F28" s="1" t="n">
        <v>2</v>
      </c>
      <c r="G28" s="1" t="n">
        <v>1.52</v>
      </c>
      <c r="H28" s="1" t="n">
        <v>0.7</v>
      </c>
      <c r="I28" s="1" t="n">
        <v>2.34</v>
      </c>
      <c r="J28" s="1" t="n">
        <f aca="false">(I28-H28)/3.92</f>
        <v>0.418367346938775</v>
      </c>
    </row>
    <row r="29" customFormat="false" ht="15" hidden="false" customHeight="false" outlineLevel="0" collapsed="false">
      <c r="A29" s="0" t="n">
        <v>2002</v>
      </c>
      <c r="B29" s="1" t="s">
        <v>43</v>
      </c>
      <c r="C29" s="1" t="n">
        <v>24</v>
      </c>
      <c r="D29" s="1" t="n">
        <v>24</v>
      </c>
      <c r="E29" s="1" t="n">
        <v>1</v>
      </c>
      <c r="F29" s="1" t="n">
        <v>2</v>
      </c>
      <c r="G29" s="1" t="n">
        <v>0.2</v>
      </c>
      <c r="H29" s="1" t="n">
        <v>-0.51</v>
      </c>
      <c r="I29" s="1" t="n">
        <v>0.91</v>
      </c>
      <c r="J29" s="1" t="n">
        <f aca="false">(I29-H29)/3.92</f>
        <v>0.362244897959184</v>
      </c>
    </row>
    <row r="30" customFormat="false" ht="15" hidden="false" customHeight="false" outlineLevel="0" collapsed="false">
      <c r="A30" s="0" t="n">
        <v>2004</v>
      </c>
      <c r="B30" s="1" t="s">
        <v>44</v>
      </c>
      <c r="C30" s="1" t="n">
        <v>25</v>
      </c>
      <c r="D30" s="1" t="n">
        <v>25</v>
      </c>
      <c r="E30" s="1" t="n">
        <v>1</v>
      </c>
      <c r="F30" s="1" t="n">
        <v>2</v>
      </c>
      <c r="G30" s="1" t="n">
        <v>-0.4</v>
      </c>
      <c r="H30" s="1" t="n">
        <v>-0.56</v>
      </c>
      <c r="I30" s="1" t="n">
        <v>-0.24</v>
      </c>
      <c r="J30" s="1" t="n">
        <f aca="false">(I30-H30)/3.92</f>
        <v>0.0816326530612245</v>
      </c>
    </row>
    <row r="31" customFormat="false" ht="15" hidden="false" customHeight="false" outlineLevel="0" collapsed="false">
      <c r="A31" s="0" t="n">
        <v>2006</v>
      </c>
      <c r="B31" s="1" t="s">
        <v>45</v>
      </c>
      <c r="C31" s="1" t="n">
        <v>26</v>
      </c>
      <c r="D31" s="1" t="n">
        <v>26</v>
      </c>
      <c r="E31" s="1" t="n">
        <v>1</v>
      </c>
      <c r="F31" s="1" t="n">
        <v>2</v>
      </c>
      <c r="G31" s="1" t="n">
        <v>0.7</v>
      </c>
      <c r="H31" s="1" t="n">
        <v>0.01</v>
      </c>
      <c r="I31" s="1" t="n">
        <v>1.39</v>
      </c>
      <c r="J31" s="1" t="n">
        <f aca="false">(I31-H31)/3.92</f>
        <v>0.352040816326531</v>
      </c>
    </row>
    <row r="32" customFormat="false" ht="15" hidden="false" customHeight="false" outlineLevel="0" collapsed="false">
      <c r="A32" s="0" t="n">
        <v>2001</v>
      </c>
      <c r="B32" s="1" t="s">
        <v>46</v>
      </c>
      <c r="C32" s="1" t="n">
        <v>27</v>
      </c>
      <c r="D32" s="1" t="n">
        <v>27</v>
      </c>
      <c r="E32" s="1" t="n">
        <v>4</v>
      </c>
      <c r="F32" s="1" t="n">
        <v>6</v>
      </c>
      <c r="G32" s="1" t="n">
        <v>1.98</v>
      </c>
      <c r="H32" s="1" t="n">
        <v>1.18</v>
      </c>
      <c r="I32" s="1" t="n">
        <v>2.78</v>
      </c>
      <c r="J32" s="1" t="n">
        <f aca="false">(I32-H32)/3.92</f>
        <v>0.408163265306122</v>
      </c>
    </row>
  </sheetData>
  <mergeCells count="1">
    <mergeCell ref="M2:N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9.14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DD6747-D463-471D-83C0-CD99FBD63AD1}"/>
</file>

<file path=customXml/itemProps2.xml><?xml version="1.0" encoding="utf-8"?>
<ds:datastoreItem xmlns:ds="http://schemas.openxmlformats.org/officeDocument/2006/customXml" ds:itemID="{E3D5E400-821A-4ECD-BC68-97BACA47D715}"/>
</file>

<file path=customXml/itemProps3.xml><?xml version="1.0" encoding="utf-8"?>
<ds:datastoreItem xmlns:ds="http://schemas.openxmlformats.org/officeDocument/2006/customXml" ds:itemID="{2FF7C9A8-5D5D-456F-9267-F65D49B5CC7D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Hewlett-Packard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</dc:creator>
  <dc:description/>
  <cp:lastModifiedBy>Theodore Papakonstantinou</cp:lastModifiedBy>
  <cp:revision>1</cp:revision>
  <dcterms:created xsi:type="dcterms:W3CDTF">2011-01-10T18:11:05Z</dcterms:created>
  <dcterms:modified xsi:type="dcterms:W3CDTF">2019-04-12T16:54:12Z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