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<sst xmlns="http://schemas.openxmlformats.org/spreadsheetml/2006/main" count="38" uniqueCount="38">
  <si>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Study year</t>
  </si>
  <si>
    <t xml:space="preserve">Study name</t>
  </si>
  <si>
    <t xml:space="preserve">id</t>
  </si>
  <si>
    <t xml:space="preserve">t1</t>
  </si>
  <si>
    <t xml:space="preserve">t2</t>
  </si>
  <si>
    <t xml:space="preserve">effect</t>
  </si>
  <si>
    <t xml:space="preserve">CIL</t>
  </si>
  <si>
    <t xml:space="preserve">CIH</t>
  </si>
  <si>
    <t xml:space="preserve">se</t>
  </si>
  <si>
    <t xml:space="preserve">Hazard Ratio [95% CI], drug vs. placebo </t>
  </si>
  <si>
    <t xml:space="preserve">CIL   HR</t>
  </si>
  <si>
    <t xml:space="preserve">CIH HR</t>
  </si>
  <si>
    <t xml:space="preserve">n1</t>
  </si>
  <si>
    <t xml:space="preserve">n2</t>
  </si>
  <si>
    <t xml:space="preserve">Harmful</t>
  </si>
  <si>
    <t xml:space="preserve">Outcome: Death </t>
  </si>
  <si>
    <t xml:space="preserve">Mortality </t>
  </si>
  <si>
    <t xml:space="preserve">Belch </t>
  </si>
  <si>
    <t xml:space="preserve">Treatments</t>
  </si>
  <si>
    <t xml:space="preserve">Placebo </t>
  </si>
  <si>
    <t xml:space="preserve">Daragon</t>
  </si>
  <si>
    <t xml:space="preserve">Etidronate</t>
  </si>
  <si>
    <t xml:space="preserve">Delams</t>
  </si>
  <si>
    <t xml:space="preserve">Clodronate</t>
  </si>
  <si>
    <t xml:space="preserve">Lahtinen</t>
  </si>
  <si>
    <t xml:space="preserve">Pamidronate</t>
  </si>
  <si>
    <t xml:space="preserve">McCloskey</t>
  </si>
  <si>
    <t xml:space="preserve">Ibandronate</t>
  </si>
  <si>
    <t xml:space="preserve">1998a</t>
  </si>
  <si>
    <t xml:space="preserve">Berenson</t>
  </si>
  <si>
    <t xml:space="preserve">Zoledronate</t>
  </si>
  <si>
    <t xml:space="preserve">Brincker</t>
  </si>
  <si>
    <t xml:space="preserve">2000a</t>
  </si>
  <si>
    <t xml:space="preserve">Kraj</t>
  </si>
  <si>
    <t xml:space="preserve">Musto</t>
  </si>
  <si>
    <t xml:space="preserve">Terpos</t>
  </si>
  <si>
    <t xml:space="preserve">Menssen</t>
  </si>
  <si>
    <t xml:space="preserve">Aviles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</si>
</sst>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3" activeCellId="0" sqref="J43"/>
    </sheetView>
  </sheetViews>
  <sheetFormatPr defaultRowHeight="15" zeroHeight="false" outlineLevelRow="0" outlineLevelCol="0"/>
  <cols>
    <col collapsed="false" customWidth="false" hidden="false" outlineLevel="0" max="5" min="1" style="0" width="11.42"/>
    <col collapsed="false" customWidth="true" hidden="false" outlineLevel="0" max="9" min="6" style="0" width="6.87"/>
    <col collapsed="false" customWidth="true" hidden="false" outlineLevel="0" max="10" min="10" style="0" width="41"/>
    <col collapsed="false" customWidth="true" hidden="false" outlineLevel="0" max="11" min="11" style="0" width="7.29"/>
    <col collapsed="false" customWidth="true" hidden="false" outlineLevel="0" max="12" min="12" style="0" width="6.87"/>
    <col collapsed="false" customWidth="false" hidden="false" outlineLevel="0" max="13" min="13" style="0" width="11.42"/>
    <col collapsed="false" customWidth="true" hidden="false" outlineLevel="0" max="14" min="14" style="0" width="3.98"/>
    <col collapsed="false" customWidth="false" hidden="false" outlineLevel="0" max="18" min="15" style="0" width="11.42"/>
    <col collapsed="false" customWidth="true" hidden="false" outlineLevel="0" max="19" min="19" style="0" width="22.57"/>
    <col collapsed="false" customWidth="false" hidden="false" outlineLevel="0" max="1025" min="20" style="0" width="11.4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R1" s="1" t="s">
        <v>14</v>
      </c>
      <c r="S1" s="1" t="s">
        <v>15</v>
      </c>
      <c r="T1" s="1" t="s">
        <v>16</v>
      </c>
    </row>
    <row r="2" customFormat="false" ht="15" hidden="false" customHeight="false" outlineLevel="0" collapsed="false">
      <c r="A2" s="0" t="n">
        <v>1991</v>
      </c>
      <c r="B2" s="0" t="s">
        <v>17</v>
      </c>
      <c r="C2" s="0" t="n">
        <v>1</v>
      </c>
      <c r="D2" s="0" t="n">
        <v>2</v>
      </c>
      <c r="E2" s="0" t="n">
        <v>1</v>
      </c>
      <c r="F2" s="0" t="n">
        <f aca="false">LN(J2)</f>
        <v>0.46373401623214</v>
      </c>
      <c r="G2" s="0" t="n">
        <f aca="false">LN(K2)</f>
        <v>0.0769610411361284</v>
      </c>
      <c r="H2" s="0" t="n">
        <f aca="false">LN(L2)</f>
        <v>0.85015092936961</v>
      </c>
      <c r="I2" s="0" t="n">
        <f aca="false">(H2-G2)/(2*1.96)</f>
        <v>0.197242318426909</v>
      </c>
      <c r="J2" s="0" t="n">
        <v>1.59</v>
      </c>
      <c r="K2" s="0" t="n">
        <v>1.08</v>
      </c>
      <c r="L2" s="0" t="n">
        <v>2.34</v>
      </c>
      <c r="M2" s="0" t="n">
        <v>92</v>
      </c>
      <c r="N2" s="0" t="n">
        <v>74</v>
      </c>
      <c r="T2" s="2" t="s">
        <v>18</v>
      </c>
      <c r="U2" s="2" t="n">
        <v>1</v>
      </c>
      <c r="V2" s="2" t="s">
        <v>19</v>
      </c>
    </row>
    <row r="3" customFormat="false" ht="15" hidden="false" customHeight="false" outlineLevel="0" collapsed="false">
      <c r="A3" s="0" t="n">
        <v>1993</v>
      </c>
      <c r="B3" s="0" t="s">
        <v>20</v>
      </c>
      <c r="C3" s="0" t="n">
        <v>2</v>
      </c>
      <c r="D3" s="0" t="n">
        <v>2</v>
      </c>
      <c r="E3" s="0" t="n">
        <v>1</v>
      </c>
      <c r="F3" s="0" t="n">
        <f aca="false">LN(J3)</f>
        <v>0.0676586484738149</v>
      </c>
      <c r="G3" s="0" t="n">
        <f aca="false">LN(K3)</f>
        <v>0</v>
      </c>
      <c r="H3" s="0" t="n">
        <f aca="false">LN(L3)</f>
        <v>0.139761942375159</v>
      </c>
      <c r="I3" s="0" t="n">
        <f aca="false">(H3-G3)/(2*1.96)</f>
        <v>0.0356535567283568</v>
      </c>
      <c r="J3" s="0" t="n">
        <v>1.07</v>
      </c>
      <c r="K3" s="0" t="n">
        <v>1</v>
      </c>
      <c r="L3" s="0" t="n">
        <v>1.15</v>
      </c>
      <c r="M3" s="0" t="n">
        <v>39</v>
      </c>
      <c r="N3" s="0" t="n">
        <v>39</v>
      </c>
      <c r="T3" s="2"/>
      <c r="U3" s="2" t="n">
        <v>2</v>
      </c>
      <c r="V3" s="2" t="s">
        <v>21</v>
      </c>
    </row>
    <row r="4" customFormat="false" ht="15" hidden="false" customHeight="false" outlineLevel="0" collapsed="false">
      <c r="A4" s="0" t="n">
        <v>1982</v>
      </c>
      <c r="B4" s="0" t="s">
        <v>22</v>
      </c>
      <c r="C4" s="0" t="n">
        <v>3</v>
      </c>
      <c r="D4" s="0" t="n">
        <v>3</v>
      </c>
      <c r="E4" s="0" t="n">
        <v>1</v>
      </c>
      <c r="F4" s="0" t="n">
        <f aca="false">LN(J4)</f>
        <v>1.28923264827676</v>
      </c>
      <c r="G4" s="0" t="n">
        <f aca="false">LN(K4)</f>
        <v>-0.462035459596559</v>
      </c>
      <c r="H4" s="0" t="n">
        <f aca="false">LN(L4)</f>
        <v>3.04118353645791</v>
      </c>
      <c r="I4" s="0" t="n">
        <f aca="false">(H4-G4)/(2*1.96)</f>
        <v>0.893678315320017</v>
      </c>
      <c r="J4" s="0" t="n">
        <v>3.63</v>
      </c>
      <c r="K4" s="0" t="n">
        <v>0.63</v>
      </c>
      <c r="L4" s="0" t="n">
        <v>20.93</v>
      </c>
      <c r="M4" s="0" t="n">
        <v>7</v>
      </c>
      <c r="N4" s="0" t="n">
        <v>6</v>
      </c>
      <c r="T4" s="2"/>
      <c r="U4" s="2" t="n">
        <v>3</v>
      </c>
      <c r="V4" s="2" t="s">
        <v>23</v>
      </c>
    </row>
    <row r="5" customFormat="false" ht="15" hidden="false" customHeight="false" outlineLevel="0" collapsed="false">
      <c r="A5" s="0" t="n">
        <v>1992</v>
      </c>
      <c r="B5" s="0" t="s">
        <v>24</v>
      </c>
      <c r="C5" s="0" t="n">
        <v>4</v>
      </c>
      <c r="D5" s="0" t="n">
        <v>3</v>
      </c>
      <c r="E5" s="0" t="n">
        <v>1</v>
      </c>
      <c r="F5" s="0" t="n">
        <f aca="false">LN(J5)</f>
        <v>-0.287682072451781</v>
      </c>
      <c r="G5" s="0" t="n">
        <f aca="false">LN(K5)</f>
        <v>-0.63487827243597</v>
      </c>
      <c r="H5" s="0" t="n">
        <f aca="false">LN(L5)</f>
        <v>0.0676586484738149</v>
      </c>
      <c r="I5" s="0" t="n">
        <f aca="false">(H5-G5)/(2*1.96)</f>
        <v>0.179218602272904</v>
      </c>
      <c r="J5" s="0" t="n">
        <v>0.75</v>
      </c>
      <c r="K5" s="0" t="n">
        <v>0.53</v>
      </c>
      <c r="L5" s="0" t="n">
        <v>1.07</v>
      </c>
      <c r="M5" s="0" t="n">
        <v>168</v>
      </c>
      <c r="N5" s="0" t="n">
        <v>168</v>
      </c>
      <c r="T5" s="2"/>
      <c r="U5" s="2" t="n">
        <v>4</v>
      </c>
      <c r="V5" s="2" t="s">
        <v>25</v>
      </c>
    </row>
    <row r="6" customFormat="false" ht="15" hidden="false" customHeight="false" outlineLevel="0" collapsed="false">
      <c r="A6" s="0" t="n">
        <v>2001</v>
      </c>
      <c r="B6" s="0" t="s">
        <v>26</v>
      </c>
      <c r="C6" s="0" t="n">
        <v>5</v>
      </c>
      <c r="D6" s="0" t="n">
        <v>3</v>
      </c>
      <c r="E6" s="0" t="n">
        <v>1</v>
      </c>
      <c r="F6" s="0" t="n">
        <f aca="false">LN(J6)</f>
        <v>-0.0202027073175195</v>
      </c>
      <c r="G6" s="0" t="n">
        <f aca="false">LN(K6)</f>
        <v>-0.198450938723838</v>
      </c>
      <c r="H6" s="0" t="n">
        <f aca="false">LN(L6)</f>
        <v>0.173953307123438</v>
      </c>
      <c r="I6" s="0" t="n">
        <f aca="false">(H6-G6)/(2*1.96)</f>
        <v>0.0950010831243052</v>
      </c>
      <c r="J6" s="0" t="n">
        <v>0.98</v>
      </c>
      <c r="K6" s="0" t="n">
        <v>0.82</v>
      </c>
      <c r="L6" s="0" t="n">
        <v>1.19</v>
      </c>
      <c r="M6" s="0" t="n">
        <v>264</v>
      </c>
      <c r="N6" s="0" t="n">
        <v>272</v>
      </c>
      <c r="T6" s="2"/>
      <c r="U6" s="2" t="n">
        <v>5</v>
      </c>
      <c r="V6" s="2" t="s">
        <v>27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n">
        <v>6</v>
      </c>
      <c r="D7" s="0" t="n">
        <v>4</v>
      </c>
      <c r="E7" s="0" t="n">
        <v>1</v>
      </c>
      <c r="F7" s="0" t="n">
        <f aca="false">LN(J7)</f>
        <v>-0.287682072451781</v>
      </c>
      <c r="G7" s="0" t="n">
        <f aca="false">LN(K7)</f>
        <v>-0.616186139423817</v>
      </c>
      <c r="H7" s="0" t="n">
        <f aca="false">LN(L7)</f>
        <v>0.0392207131532813</v>
      </c>
      <c r="I7" s="0" t="n">
        <f aca="false">(H7-G7)/(2*1.96)</f>
        <v>0.167195625657423</v>
      </c>
      <c r="J7" s="0" t="n">
        <v>0.75</v>
      </c>
      <c r="K7" s="0" t="n">
        <v>0.54</v>
      </c>
      <c r="L7" s="0" t="n">
        <v>1.04</v>
      </c>
      <c r="M7" s="0" t="n">
        <v>203</v>
      </c>
      <c r="N7" s="0" t="n">
        <v>189</v>
      </c>
      <c r="T7" s="2"/>
      <c r="U7" s="2" t="n">
        <v>6</v>
      </c>
      <c r="V7" s="2" t="s">
        <v>30</v>
      </c>
    </row>
    <row r="8" customFormat="false" ht="15" hidden="false" customHeight="false" outlineLevel="0" collapsed="false">
      <c r="A8" s="0" t="n">
        <v>1998</v>
      </c>
      <c r="B8" s="0" t="s">
        <v>31</v>
      </c>
      <c r="C8" s="0" t="n">
        <v>7</v>
      </c>
      <c r="D8" s="0" t="n">
        <v>4</v>
      </c>
      <c r="E8" s="0" t="n">
        <v>1</v>
      </c>
      <c r="F8" s="0" t="n">
        <f aca="false">LN(J8)</f>
        <v>-0.105360515657826</v>
      </c>
      <c r="G8" s="0" t="n">
        <f aca="false">LN(K8)</f>
        <v>-1.96611285637283</v>
      </c>
      <c r="H8" s="0" t="n">
        <f aca="false">LN(L8)</f>
        <v>1.74571553072665</v>
      </c>
      <c r="I8" s="0" t="n">
        <f aca="false">(H8-G8)/(2*1.96)</f>
        <v>0.946894996709051</v>
      </c>
      <c r="J8" s="0" t="n">
        <v>0.9</v>
      </c>
      <c r="K8" s="0" t="n">
        <v>0.14</v>
      </c>
      <c r="L8" s="0" t="n">
        <v>5.73</v>
      </c>
      <c r="M8" s="0" t="n">
        <v>152</v>
      </c>
      <c r="N8" s="0" t="n">
        <v>148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n">
        <v>8</v>
      </c>
      <c r="D9" s="0" t="n">
        <v>4</v>
      </c>
      <c r="E9" s="0" t="n">
        <v>1</v>
      </c>
      <c r="F9" s="0" t="n">
        <f aca="false">LN(J9)</f>
        <v>0.113328685307003</v>
      </c>
      <c r="G9" s="0" t="n">
        <f aca="false">LN(K9)</f>
        <v>-0.673344553263766</v>
      </c>
      <c r="H9" s="0" t="n">
        <f aca="false">LN(L9)</f>
        <v>0.900161349944271</v>
      </c>
      <c r="I9" s="0" t="n">
        <f aca="false">(H9-G9)/(2*1.96)</f>
        <v>0.401404567144907</v>
      </c>
      <c r="J9" s="0" t="n">
        <v>1.12</v>
      </c>
      <c r="K9" s="0" t="n">
        <v>0.51</v>
      </c>
      <c r="L9" s="0" t="n">
        <v>2.46</v>
      </c>
      <c r="M9" s="0" t="n">
        <v>23</v>
      </c>
      <c r="N9" s="0" t="n">
        <v>23</v>
      </c>
    </row>
    <row r="10" customFormat="false" ht="15" hidden="false" customHeight="false" outlineLevel="0" collapsed="false">
      <c r="A10" s="0" t="n">
        <v>2003</v>
      </c>
      <c r="B10" s="0" t="s">
        <v>34</v>
      </c>
      <c r="C10" s="0" t="n">
        <v>9</v>
      </c>
      <c r="D10" s="0" t="n">
        <v>4</v>
      </c>
      <c r="E10" s="0" t="n">
        <v>1</v>
      </c>
      <c r="F10" s="0" t="n">
        <f aca="false">LN(J10)</f>
        <v>-0.0202027073175195</v>
      </c>
      <c r="G10" s="0" t="n">
        <f aca="false">LN(K10)</f>
        <v>-0.415515443961666</v>
      </c>
      <c r="H10" s="0" t="n">
        <f aca="false">LN(L10)</f>
        <v>0.378436435720245</v>
      </c>
      <c r="I10" s="0" t="n">
        <f aca="false">(H10-G10)/(2*1.96)</f>
        <v>0.202538744816814</v>
      </c>
      <c r="J10" s="0" t="n">
        <v>0.98</v>
      </c>
      <c r="K10" s="0" t="n">
        <v>0.66</v>
      </c>
      <c r="L10" s="0" t="n">
        <v>1.46</v>
      </c>
      <c r="M10" s="0" t="n">
        <v>40</v>
      </c>
      <c r="N10" s="0" t="n">
        <v>41</v>
      </c>
    </row>
    <row r="11" customFormat="false" ht="15" hidden="false" customHeight="false" outlineLevel="0" collapsed="false">
      <c r="A11" s="0" t="n">
        <v>2000</v>
      </c>
      <c r="B11" s="0" t="s">
        <v>35</v>
      </c>
      <c r="C11" s="0" t="n">
        <v>10</v>
      </c>
      <c r="D11" s="0" t="n">
        <v>4</v>
      </c>
      <c r="E11" s="0" t="n">
        <v>1</v>
      </c>
      <c r="F11" s="0" t="n">
        <f aca="false">LN(J11)</f>
        <v>-2.12026353620009</v>
      </c>
      <c r="G11" s="0" t="n">
        <f aca="false">LN(K11)</f>
        <v>-4.60517018598809</v>
      </c>
      <c r="H11" s="0" t="n">
        <f aca="false">LN(L11)</f>
        <v>0.693147180559945</v>
      </c>
      <c r="I11" s="0" t="n">
        <f aca="false">(H11-G11)/(2*1.96)</f>
        <v>1.35161157309899</v>
      </c>
      <c r="J11" s="0" t="n">
        <v>0.12</v>
      </c>
      <c r="K11" s="0" t="n">
        <v>0.01</v>
      </c>
      <c r="L11" s="0" t="n">
        <v>2</v>
      </c>
      <c r="M11" s="0" t="n">
        <v>32</v>
      </c>
      <c r="N11" s="0" t="n">
        <v>30</v>
      </c>
    </row>
    <row r="12" customFormat="false" ht="15" hidden="false" customHeight="false" outlineLevel="0" collapsed="false">
      <c r="A12" s="0" t="n">
        <v>2002</v>
      </c>
      <c r="B12" s="0" t="s">
        <v>36</v>
      </c>
      <c r="C12" s="0" t="n">
        <v>11</v>
      </c>
      <c r="D12" s="0" t="n">
        <v>5</v>
      </c>
      <c r="E12" s="0" t="n">
        <v>1</v>
      </c>
      <c r="F12" s="0" t="n">
        <f aca="false">LN(J12)</f>
        <v>0.0676586484738149</v>
      </c>
      <c r="G12" s="0" t="n">
        <f aca="false">LN(K12)</f>
        <v>-0.371063681390832</v>
      </c>
      <c r="H12" s="0" t="n">
        <f aca="false">LN(L12)</f>
        <v>0.494696241836107</v>
      </c>
      <c r="I12" s="0" t="n">
        <f aca="false">(H12-G12)/(2*1.96)</f>
        <v>0.220857123272178</v>
      </c>
      <c r="J12" s="0" t="n">
        <v>1.07</v>
      </c>
      <c r="K12" s="0" t="n">
        <v>0.69</v>
      </c>
      <c r="L12" s="0" t="n">
        <v>1.64</v>
      </c>
      <c r="M12" s="0" t="n">
        <v>99</v>
      </c>
      <c r="N12" s="0" t="n">
        <v>99</v>
      </c>
    </row>
    <row r="13" customFormat="false" ht="15" hidden="false" customHeight="false" outlineLevel="0" collapsed="false">
      <c r="A13" s="0" t="n">
        <v>2007</v>
      </c>
      <c r="B13" s="0" t="s">
        <v>37</v>
      </c>
      <c r="C13" s="0" t="n">
        <v>12</v>
      </c>
      <c r="D13" s="0" t="n">
        <v>6</v>
      </c>
      <c r="E13" s="0" t="n">
        <v>1</v>
      </c>
      <c r="F13" s="0" t="n">
        <f aca="false">LN(J13)</f>
        <v>-0.867500567704723</v>
      </c>
      <c r="G13" s="0" t="n">
        <f aca="false">LN(K13)</f>
        <v>-1.51412773262978</v>
      </c>
      <c r="H13" s="0" t="n">
        <f aca="false">LN(L13)</f>
        <v>-0.210721031315653</v>
      </c>
      <c r="I13" s="0" t="n">
        <f aca="false">(H13-G13)/(2*1.96)</f>
        <v>0.332501709518909</v>
      </c>
      <c r="J13" s="0" t="n">
        <v>0.42</v>
      </c>
      <c r="K13" s="0" t="n">
        <v>0.22</v>
      </c>
      <c r="L13" s="0" t="n">
        <v>0.81</v>
      </c>
      <c r="M13" s="0" t="n">
        <v>46</v>
      </c>
      <c r="N13" s="0" t="n">
        <v>48</v>
      </c>
    </row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false" hidden="false" outlineLevel="0" max="1025" min="1" style="0" width="11.4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false" hidden="false" outlineLevel="0" max="1025" min="1" style="0" width="11.4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ED771D-A68E-49CB-B84D-6DF63F2AFF23}"/>
</file>

<file path=customXml/itemProps2.xml><?xml version="1.0" encoding="utf-8"?>
<ds:datastoreItem xmlns:ds="http://schemas.openxmlformats.org/officeDocument/2006/customXml" ds:itemID="{FD479021-DF39-4A76-B52E-90529465554A}"/>
</file>

<file path=customXml/itemProps3.xml><?xml version="1.0" encoding="utf-8"?>
<ds:datastoreItem xmlns:ds="http://schemas.openxmlformats.org/officeDocument/2006/customXml" ds:itemID="{C977BBF1-E851-4FA9-B9B5-5D2E1527F92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Theodore Papakonstantinou</cp:lastModifiedBy>
  <cp:revision>3</cp:revision>
  <dcterms:created xsi:type="dcterms:W3CDTF">2018-02-27T15:37:48Z</dcterms:created>
  <dcterms:modified xsi:type="dcterms:W3CDTF">2019-04-12T17:03:59Z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