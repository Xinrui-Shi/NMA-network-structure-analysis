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  <sheet name="Feuil2" sheetId="2" state="visible" r:id="rId3"/>
    <sheet name="Feuil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<sst xmlns="http://schemas.openxmlformats.org/spreadsheetml/2006/main" count="35" uniqueCount="35">
  <si>
    <t xml:space="preserve">year</t>
  </si>
  <si>
    <t xml:space="preserve">study</t>
  </si>
  <si>
    <t xml:space="preserve">id</t>
  </si>
  <si>
    <t xml:space="preserve">t</t>
  </si>
  <si>
    <t xml:space="preserve">r</t>
  </si>
  <si>
    <t xml:space="preserve">n</t>
  </si>
  <si>
    <t xml:space="preserve">%</t>
  </si>
  <si>
    <t xml:space="preserve">r_raw</t>
  </si>
  <si>
    <t xml:space="preserve">Benefit</t>
  </si>
  <si>
    <t xml:space="preserve">Outcome:</t>
  </si>
  <si>
    <t xml:space="preserve">ACR50</t>
  </si>
  <si>
    <t xml:space="preserve">Smolen</t>
  </si>
  <si>
    <t xml:space="preserve">Treatments</t>
  </si>
  <si>
    <t xml:space="preserve">placebo</t>
  </si>
  <si>
    <t xml:space="preserve">TOC</t>
  </si>
  <si>
    <t xml:space="preserve">Genovese</t>
  </si>
  <si>
    <t xml:space="preserve">TNFi</t>
  </si>
  <si>
    <t xml:space="preserve">abatacept</t>
  </si>
  <si>
    <t xml:space="preserve">Kremer 2009</t>
  </si>
  <si>
    <t xml:space="preserve">rituximab</t>
  </si>
  <si>
    <t xml:space="preserve">Weinblatt 2003</t>
  </si>
  <si>
    <t xml:space="preserve">Furst</t>
  </si>
  <si>
    <t xml:space="preserve">Van de Putte</t>
  </si>
  <si>
    <t xml:space="preserve">Keystone</t>
  </si>
  <si>
    <t xml:space="preserve">Weinblatt 1999</t>
  </si>
  <si>
    <t xml:space="preserve">Klareskog</t>
  </si>
  <si>
    <t xml:space="preserve">Combe</t>
  </si>
  <si>
    <t xml:space="preserve">Moreland</t>
  </si>
  <si>
    <t xml:space="preserve">Maini</t>
  </si>
  <si>
    <t xml:space="preserve">Westhovens</t>
  </si>
  <si>
    <t xml:space="preserve">Schiff</t>
  </si>
  <si>
    <t xml:space="preserve">Kremer 2003</t>
  </si>
  <si>
    <t xml:space="preserve">Kremer 2006</t>
  </si>
  <si>
    <t xml:space="preserve">Edwards</t>
  </si>
  <si>
    <t xml:space="preserve">Emery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</si>
</sst>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9CDE5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2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:E38"/>
    </sheetView>
  </sheetViews>
  <sheetFormatPr defaultRowHeight="15" zeroHeight="false" outlineLevelRow="0" outlineLevelCol="0"/>
  <cols>
    <col collapsed="false" customWidth="true" hidden="false" outlineLevel="0" max="1025" min="1" style="0" width="10.67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0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1" t="s">
        <v>9</v>
      </c>
      <c r="L1" s="0" t="s">
        <v>10</v>
      </c>
    </row>
    <row r="2" customFormat="false" ht="13.8" hidden="false" customHeight="false" outlineLevel="0" collapsed="false">
      <c r="A2" s="0" t="n">
        <v>2008</v>
      </c>
      <c r="B2" s="0" t="s">
        <v>11</v>
      </c>
      <c r="C2" s="0" t="n">
        <v>1</v>
      </c>
      <c r="D2" s="0" t="n">
        <v>1</v>
      </c>
      <c r="E2" s="0" t="n">
        <f aca="false">ROUND(H2,0)</f>
        <v>22</v>
      </c>
      <c r="F2" s="0" t="n">
        <v>204</v>
      </c>
      <c r="G2" s="0" t="n">
        <v>10.8</v>
      </c>
      <c r="H2" s="0" t="n">
        <v>22.032</v>
      </c>
      <c r="J2" s="2" t="s">
        <v>12</v>
      </c>
      <c r="K2" s="3" t="n">
        <v>1</v>
      </c>
      <c r="L2" s="3" t="s">
        <v>13</v>
      </c>
      <c r="M2" s="3"/>
    </row>
    <row r="3" customFormat="false" ht="13.8" hidden="false" customHeight="false" outlineLevel="0" collapsed="false">
      <c r="C3" s="0" t="n">
        <v>1</v>
      </c>
      <c r="D3" s="0" t="n">
        <v>2</v>
      </c>
      <c r="E3" s="0" t="n">
        <f aca="false">ROUND(H3,0)</f>
        <v>90</v>
      </c>
      <c r="F3" s="0" t="n">
        <v>205</v>
      </c>
      <c r="G3" s="0" t="n">
        <v>43.9</v>
      </c>
      <c r="H3" s="0" t="n">
        <v>89.995</v>
      </c>
      <c r="J3" s="3"/>
      <c r="K3" s="3" t="n">
        <v>2</v>
      </c>
      <c r="L3" s="3" t="s">
        <v>14</v>
      </c>
      <c r="M3" s="3"/>
    </row>
    <row r="4" customFormat="false" ht="13.8" hidden="false" customHeight="false" outlineLevel="0" collapsed="false">
      <c r="A4" s="0" t="n">
        <v>2008</v>
      </c>
      <c r="B4" s="0" t="s">
        <v>15</v>
      </c>
      <c r="C4" s="0" t="n">
        <v>2</v>
      </c>
      <c r="D4" s="0" t="n">
        <v>1</v>
      </c>
      <c r="E4" s="0" t="n">
        <f aca="false">ROUND(H4,0)</f>
        <v>37</v>
      </c>
      <c r="F4" s="0" t="n">
        <v>413</v>
      </c>
      <c r="G4" s="0" t="n">
        <v>9</v>
      </c>
      <c r="H4" s="0" t="n">
        <v>37.17</v>
      </c>
      <c r="J4" s="3"/>
      <c r="K4" s="3" t="n">
        <v>3</v>
      </c>
      <c r="L4" s="3" t="s">
        <v>16</v>
      </c>
      <c r="M4" s="3"/>
    </row>
    <row r="5" customFormat="false" ht="13.8" hidden="false" customHeight="false" outlineLevel="0" collapsed="false">
      <c r="C5" s="0" t="n">
        <v>2</v>
      </c>
      <c r="D5" s="0" t="n">
        <v>2</v>
      </c>
      <c r="E5" s="0" t="n">
        <f aca="false">ROUND(H5,0)</f>
        <v>302</v>
      </c>
      <c r="F5" s="0" t="n">
        <v>803</v>
      </c>
      <c r="G5" s="0" t="n">
        <v>37.6</v>
      </c>
      <c r="H5" s="0" t="n">
        <v>301.928</v>
      </c>
      <c r="J5" s="3"/>
      <c r="K5" s="3" t="n">
        <v>4</v>
      </c>
      <c r="L5" s="3" t="s">
        <v>17</v>
      </c>
      <c r="M5" s="3"/>
    </row>
    <row r="6" customFormat="false" ht="13.8" hidden="false" customHeight="false" outlineLevel="0" collapsed="false">
      <c r="A6" s="0" t="n">
        <v>2009</v>
      </c>
      <c r="B6" s="0" t="s">
        <v>18</v>
      </c>
      <c r="C6" s="0" t="n">
        <v>3</v>
      </c>
      <c r="D6" s="0" t="n">
        <v>1</v>
      </c>
      <c r="E6" s="0" t="n">
        <f aca="false">ROUND(H6,0)</f>
        <v>38</v>
      </c>
      <c r="F6" s="0" t="n">
        <v>393</v>
      </c>
      <c r="G6" s="0" t="n">
        <v>9.7</v>
      </c>
      <c r="H6" s="0" t="n">
        <v>38.121</v>
      </c>
      <c r="J6" s="3"/>
      <c r="K6" s="3" t="n">
        <v>5</v>
      </c>
      <c r="L6" s="3" t="s">
        <v>19</v>
      </c>
      <c r="M6" s="3"/>
    </row>
    <row r="7" customFormat="false" ht="13.8" hidden="false" customHeight="false" outlineLevel="0" collapsed="false">
      <c r="C7" s="0" t="n">
        <v>3</v>
      </c>
      <c r="D7" s="0" t="n">
        <v>2</v>
      </c>
      <c r="E7" s="0" t="n">
        <f aca="false">ROUND(H7,0)</f>
        <v>128</v>
      </c>
      <c r="F7" s="0" t="n">
        <v>398</v>
      </c>
      <c r="G7" s="0" t="n">
        <v>32.2</v>
      </c>
      <c r="H7" s="0" t="n">
        <v>128.156</v>
      </c>
    </row>
    <row r="8" customFormat="false" ht="13.8" hidden="false" customHeight="false" outlineLevel="0" collapsed="false">
      <c r="A8" s="0" t="n">
        <v>2003</v>
      </c>
      <c r="B8" s="0" t="s">
        <v>20</v>
      </c>
      <c r="C8" s="0" t="n">
        <v>4</v>
      </c>
      <c r="D8" s="0" t="n">
        <v>1</v>
      </c>
      <c r="E8" s="0" t="n">
        <f aca="false">ROUND(H8,0)</f>
        <v>5</v>
      </c>
      <c r="F8" s="0" t="n">
        <v>62</v>
      </c>
      <c r="G8" s="0" t="n">
        <v>8.1</v>
      </c>
      <c r="H8" s="0" t="n">
        <v>5.022</v>
      </c>
    </row>
    <row r="9" customFormat="false" ht="13.8" hidden="false" customHeight="false" outlineLevel="0" collapsed="false">
      <c r="C9" s="0" t="n">
        <v>4</v>
      </c>
      <c r="D9" s="0" t="n">
        <v>3</v>
      </c>
      <c r="E9" s="0" t="n">
        <f aca="false">ROUND(H9,0)</f>
        <v>37</v>
      </c>
      <c r="F9" s="0" t="n">
        <v>67</v>
      </c>
      <c r="G9" s="0" t="n">
        <v>55.2</v>
      </c>
      <c r="H9" s="0" t="n">
        <v>36.984</v>
      </c>
    </row>
    <row r="10" customFormat="false" ht="13.8" hidden="false" customHeight="false" outlineLevel="0" collapsed="false">
      <c r="A10" s="0" t="n">
        <v>2003</v>
      </c>
      <c r="B10" s="0" t="s">
        <v>21</v>
      </c>
      <c r="C10" s="0" t="n">
        <v>5</v>
      </c>
      <c r="D10" s="0" t="n">
        <v>1</v>
      </c>
      <c r="E10" s="0" t="n">
        <f aca="false">ROUND(H10,0)</f>
        <v>36</v>
      </c>
      <c r="F10" s="0" t="n">
        <v>318</v>
      </c>
      <c r="G10" s="0" t="n">
        <v>11.3</v>
      </c>
      <c r="H10" s="0" t="n">
        <v>35.934</v>
      </c>
    </row>
    <row r="11" customFormat="false" ht="13.8" hidden="false" customHeight="false" outlineLevel="0" collapsed="false">
      <c r="C11" s="0" t="n">
        <v>5</v>
      </c>
      <c r="D11" s="0" t="n">
        <v>3</v>
      </c>
      <c r="E11" s="0" t="n">
        <f aca="false">ROUND(H11,0)</f>
        <v>92</v>
      </c>
      <c r="F11" s="0" t="n">
        <v>318</v>
      </c>
      <c r="G11" s="0" t="n">
        <v>28.9</v>
      </c>
      <c r="H11" s="0" t="n">
        <v>91.902</v>
      </c>
    </row>
    <row r="12" customFormat="false" ht="13.8" hidden="false" customHeight="false" outlineLevel="0" collapsed="false">
      <c r="A12" s="0" t="n">
        <v>2004</v>
      </c>
      <c r="B12" s="0" t="s">
        <v>22</v>
      </c>
      <c r="C12" s="0" t="n">
        <v>6</v>
      </c>
      <c r="D12" s="0" t="n">
        <v>1</v>
      </c>
      <c r="E12" s="0" t="n">
        <f aca="false">ROUND(H12,0)</f>
        <v>9</v>
      </c>
      <c r="F12" s="0" t="n">
        <v>110</v>
      </c>
      <c r="G12" s="0" t="n">
        <v>8.2</v>
      </c>
      <c r="H12" s="0" t="n">
        <v>9.02</v>
      </c>
    </row>
    <row r="13" customFormat="false" ht="13.8" hidden="false" customHeight="false" outlineLevel="0" collapsed="false">
      <c r="C13" s="0" t="n">
        <v>6</v>
      </c>
      <c r="D13" s="0" t="n">
        <v>3</v>
      </c>
      <c r="E13" s="0" t="n">
        <f aca="false">ROUND(H13,0)</f>
        <v>25</v>
      </c>
      <c r="F13" s="0" t="n">
        <v>113</v>
      </c>
      <c r="G13" s="0" t="n">
        <v>22.1</v>
      </c>
      <c r="H13" s="0" t="n">
        <v>24.973</v>
      </c>
    </row>
    <row r="14" customFormat="false" ht="13.8" hidden="false" customHeight="false" outlineLevel="0" collapsed="false">
      <c r="A14" s="0" t="n">
        <v>2004</v>
      </c>
      <c r="B14" s="0" t="s">
        <v>23</v>
      </c>
      <c r="C14" s="0" t="n">
        <v>7</v>
      </c>
      <c r="D14" s="0" t="n">
        <v>1</v>
      </c>
      <c r="E14" s="0" t="n">
        <f aca="false">ROUND(H14,0)</f>
        <v>19</v>
      </c>
      <c r="F14" s="0" t="n">
        <v>200</v>
      </c>
      <c r="G14" s="0" t="n">
        <v>9.5</v>
      </c>
      <c r="H14" s="0" t="n">
        <v>19</v>
      </c>
    </row>
    <row r="15" customFormat="false" ht="13.8" hidden="false" customHeight="false" outlineLevel="0" collapsed="false">
      <c r="C15" s="0" t="n">
        <v>7</v>
      </c>
      <c r="D15" s="0" t="n">
        <v>3</v>
      </c>
      <c r="E15" s="0" t="n">
        <f aca="false">ROUND(H15,0)</f>
        <v>81</v>
      </c>
      <c r="F15" s="0" t="n">
        <v>207</v>
      </c>
      <c r="G15" s="0" t="n">
        <v>39.1</v>
      </c>
      <c r="H15" s="0" t="n">
        <v>80.937</v>
      </c>
    </row>
    <row r="16" customFormat="false" ht="13.8" hidden="false" customHeight="false" outlineLevel="0" collapsed="false">
      <c r="A16" s="0" t="n">
        <v>1999</v>
      </c>
      <c r="B16" s="0" t="s">
        <v>24</v>
      </c>
      <c r="C16" s="0" t="n">
        <v>8</v>
      </c>
      <c r="D16" s="0" t="n">
        <v>1</v>
      </c>
      <c r="E16" s="0" t="n">
        <f aca="false">ROUND(H16,0)</f>
        <v>1</v>
      </c>
      <c r="F16" s="0" t="n">
        <v>30</v>
      </c>
      <c r="G16" s="0" t="n">
        <v>3.3</v>
      </c>
      <c r="H16" s="0" t="n">
        <v>0.99</v>
      </c>
    </row>
    <row r="17" customFormat="false" ht="13.8" hidden="false" customHeight="false" outlineLevel="0" collapsed="false">
      <c r="C17" s="0" t="n">
        <v>8</v>
      </c>
      <c r="D17" s="0" t="n">
        <v>3</v>
      </c>
      <c r="E17" s="0" t="n">
        <f aca="false">ROUND(H17,0)</f>
        <v>23</v>
      </c>
      <c r="F17" s="0" t="n">
        <v>59</v>
      </c>
      <c r="G17" s="0" t="n">
        <v>39</v>
      </c>
      <c r="H17" s="0" t="n">
        <v>23.01</v>
      </c>
    </row>
    <row r="18" customFormat="false" ht="13.8" hidden="false" customHeight="false" outlineLevel="0" collapsed="false">
      <c r="A18" s="0" t="n">
        <v>2004</v>
      </c>
      <c r="B18" s="0" t="s">
        <v>25</v>
      </c>
      <c r="C18" s="0" t="n">
        <v>9</v>
      </c>
      <c r="D18" s="0" t="n">
        <v>1</v>
      </c>
      <c r="E18" s="0" t="n">
        <f aca="false">ROUND(H18,0)</f>
        <v>91</v>
      </c>
      <c r="F18" s="0" t="n">
        <v>228</v>
      </c>
      <c r="G18" s="0" t="n">
        <v>39.9</v>
      </c>
      <c r="H18" s="0" t="n">
        <v>90.972</v>
      </c>
    </row>
    <row r="19" customFormat="false" ht="13.8" hidden="false" customHeight="false" outlineLevel="0" collapsed="false">
      <c r="C19" s="0" t="n">
        <v>9</v>
      </c>
      <c r="D19" s="0" t="n">
        <v>3</v>
      </c>
      <c r="E19" s="0" t="n">
        <f aca="false">ROUND(H19,0)</f>
        <v>134</v>
      </c>
      <c r="F19" s="0" t="n">
        <v>231</v>
      </c>
      <c r="G19" s="0" t="n">
        <v>58</v>
      </c>
      <c r="H19" s="0" t="n">
        <v>133.98</v>
      </c>
    </row>
    <row r="20" customFormat="false" ht="13.8" hidden="false" customHeight="false" outlineLevel="0" collapsed="false">
      <c r="A20" s="0" t="n">
        <v>2006</v>
      </c>
      <c r="B20" s="0" t="s">
        <v>26</v>
      </c>
      <c r="C20" s="0" t="n">
        <v>10</v>
      </c>
      <c r="D20" s="0" t="n">
        <v>1</v>
      </c>
      <c r="E20" s="0" t="n">
        <f aca="false">ROUND(H20,0)</f>
        <v>7</v>
      </c>
      <c r="F20" s="0" t="n">
        <v>50</v>
      </c>
      <c r="G20" s="0" t="n">
        <v>14</v>
      </c>
      <c r="H20" s="0" t="n">
        <v>7</v>
      </c>
    </row>
    <row r="21" customFormat="false" ht="13.8" hidden="false" customHeight="false" outlineLevel="0" collapsed="false">
      <c r="C21" s="0" t="n">
        <v>10</v>
      </c>
      <c r="D21" s="0" t="n">
        <v>3</v>
      </c>
      <c r="E21" s="0" t="n">
        <f aca="false">ROUND(H21,0)</f>
        <v>53</v>
      </c>
      <c r="F21" s="0" t="n">
        <v>101</v>
      </c>
      <c r="G21" s="0" t="n">
        <v>52.5</v>
      </c>
      <c r="H21" s="0" t="n">
        <v>53.025</v>
      </c>
    </row>
    <row r="22" customFormat="false" ht="13.8" hidden="false" customHeight="false" outlineLevel="0" collapsed="false">
      <c r="A22" s="0" t="n">
        <v>1999</v>
      </c>
      <c r="B22" s="0" t="s">
        <v>27</v>
      </c>
      <c r="C22" s="0" t="n">
        <v>11</v>
      </c>
      <c r="D22" s="0" t="n">
        <v>1</v>
      </c>
      <c r="E22" s="0" t="n">
        <f aca="false">ROUND(H22,0)</f>
        <v>4</v>
      </c>
      <c r="F22" s="0" t="n">
        <v>80</v>
      </c>
      <c r="G22" s="0" t="n">
        <v>5</v>
      </c>
      <c r="H22" s="0" t="n">
        <v>4</v>
      </c>
    </row>
    <row r="23" customFormat="false" ht="13.8" hidden="false" customHeight="false" outlineLevel="0" collapsed="false">
      <c r="C23" s="0" t="n">
        <v>11</v>
      </c>
      <c r="D23" s="0" t="n">
        <v>3</v>
      </c>
      <c r="E23" s="0" t="n">
        <f aca="false">ROUND(H23,0)</f>
        <v>31</v>
      </c>
      <c r="F23" s="0" t="n">
        <v>78</v>
      </c>
      <c r="G23" s="0" t="n">
        <v>39.7</v>
      </c>
      <c r="H23" s="0" t="n">
        <v>30.966</v>
      </c>
    </row>
    <row r="24" customFormat="false" ht="13.8" hidden="false" customHeight="false" outlineLevel="0" collapsed="false">
      <c r="A24" s="0" t="n">
        <v>1999</v>
      </c>
      <c r="B24" s="0" t="s">
        <v>28</v>
      </c>
      <c r="C24" s="0" t="n">
        <v>12</v>
      </c>
      <c r="D24" s="0" t="n">
        <v>1</v>
      </c>
      <c r="E24" s="0" t="n">
        <f aca="false">ROUND(H24,0)</f>
        <v>4</v>
      </c>
      <c r="F24" s="0" t="n">
        <v>88</v>
      </c>
      <c r="G24" s="0" t="n">
        <v>4.5</v>
      </c>
      <c r="H24" s="0" t="n">
        <v>3.96</v>
      </c>
    </row>
    <row r="25" customFormat="false" ht="13.8" hidden="false" customHeight="false" outlineLevel="0" collapsed="false">
      <c r="C25" s="0" t="n">
        <v>12</v>
      </c>
      <c r="D25" s="0" t="n">
        <v>3</v>
      </c>
      <c r="E25" s="0" t="n">
        <f aca="false">ROUND(H25,0)</f>
        <v>47</v>
      </c>
      <c r="F25" s="0" t="n">
        <v>172</v>
      </c>
      <c r="G25" s="0" t="n">
        <v>27.3</v>
      </c>
      <c r="H25" s="0" t="n">
        <v>46.956</v>
      </c>
    </row>
    <row r="26" customFormat="false" ht="13.8" hidden="false" customHeight="false" outlineLevel="0" collapsed="false">
      <c r="A26" s="0" t="n">
        <v>2006</v>
      </c>
      <c r="B26" s="0" t="s">
        <v>29</v>
      </c>
      <c r="C26" s="0" t="n">
        <v>13</v>
      </c>
      <c r="D26" s="0" t="n">
        <v>1</v>
      </c>
      <c r="E26" s="0" t="n">
        <f aca="false">ROUND(H26,0)</f>
        <v>33</v>
      </c>
      <c r="F26" s="0" t="n">
        <v>363</v>
      </c>
      <c r="G26" s="0" t="n">
        <v>9.1</v>
      </c>
      <c r="H26" s="0" t="n">
        <v>33.033</v>
      </c>
    </row>
    <row r="27" customFormat="false" ht="13.8" hidden="false" customHeight="false" outlineLevel="0" collapsed="false">
      <c r="C27" s="0" t="n">
        <v>13</v>
      </c>
      <c r="D27" s="0" t="n">
        <v>3</v>
      </c>
      <c r="E27" s="0" t="n">
        <f aca="false">ROUND(H27,0)</f>
        <v>110</v>
      </c>
      <c r="F27" s="0" t="n">
        <v>360</v>
      </c>
      <c r="G27" s="0" t="n">
        <v>30.6</v>
      </c>
      <c r="H27" s="0" t="n">
        <v>110.16</v>
      </c>
    </row>
    <row r="28" customFormat="false" ht="13.8" hidden="false" customHeight="false" outlineLevel="0" collapsed="false">
      <c r="A28" s="0" t="n">
        <v>2008</v>
      </c>
      <c r="B28" s="0" t="s">
        <v>30</v>
      </c>
      <c r="C28" s="0" t="n">
        <v>14</v>
      </c>
      <c r="D28" s="0" t="n">
        <v>1</v>
      </c>
      <c r="E28" s="0" t="n">
        <f aca="false">ROUND(H28,0)</f>
        <v>22</v>
      </c>
      <c r="F28" s="0" t="n">
        <v>110</v>
      </c>
      <c r="G28" s="0" t="n">
        <v>20</v>
      </c>
      <c r="H28" s="0" t="n">
        <v>22</v>
      </c>
    </row>
    <row r="29" customFormat="false" ht="13.8" hidden="false" customHeight="false" outlineLevel="0" collapsed="false">
      <c r="C29" s="0" t="n">
        <v>14</v>
      </c>
      <c r="D29" s="0" t="n">
        <v>3</v>
      </c>
      <c r="E29" s="0" t="n">
        <f aca="false">ROUND(H29,0)</f>
        <v>61</v>
      </c>
      <c r="F29" s="0" t="n">
        <v>165</v>
      </c>
      <c r="G29" s="0" t="n">
        <v>37</v>
      </c>
      <c r="H29" s="0" t="n">
        <v>61.05</v>
      </c>
    </row>
    <row r="30" customFormat="false" ht="13.8" hidden="false" customHeight="false" outlineLevel="0" collapsed="false">
      <c r="C30" s="0" t="n">
        <v>14</v>
      </c>
      <c r="D30" s="0" t="n">
        <v>4</v>
      </c>
      <c r="E30" s="0" t="n">
        <f aca="false">ROUND(H30,0)</f>
        <v>63</v>
      </c>
      <c r="F30" s="0" t="n">
        <v>156</v>
      </c>
      <c r="G30" s="0" t="n">
        <v>40.4</v>
      </c>
      <c r="H30" s="0" t="n">
        <v>63.024</v>
      </c>
    </row>
    <row r="31" customFormat="false" ht="13.8" hidden="false" customHeight="false" outlineLevel="0" collapsed="false">
      <c r="A31" s="0" t="n">
        <v>2003</v>
      </c>
      <c r="B31" s="0" t="s">
        <v>31</v>
      </c>
      <c r="C31" s="0" t="n">
        <v>15</v>
      </c>
      <c r="D31" s="0" t="n">
        <v>1</v>
      </c>
      <c r="E31" s="0" t="n">
        <f aca="false">ROUND(H31,0)</f>
        <v>14</v>
      </c>
      <c r="F31" s="0" t="n">
        <v>119</v>
      </c>
      <c r="G31" s="0" t="n">
        <v>11.8</v>
      </c>
      <c r="H31" s="0" t="n">
        <v>14.042</v>
      </c>
    </row>
    <row r="32" customFormat="false" ht="13.8" hidden="false" customHeight="false" outlineLevel="0" collapsed="false">
      <c r="C32" s="0" t="n">
        <v>15</v>
      </c>
      <c r="D32" s="0" t="n">
        <v>4</v>
      </c>
      <c r="E32" s="0" t="n">
        <f aca="false">ROUND(H32,0)</f>
        <v>42</v>
      </c>
      <c r="F32" s="0" t="n">
        <v>115</v>
      </c>
      <c r="G32" s="0" t="n">
        <v>36.5</v>
      </c>
      <c r="H32" s="0" t="n">
        <v>41.975</v>
      </c>
    </row>
    <row r="33" customFormat="false" ht="13.8" hidden="false" customHeight="false" outlineLevel="0" collapsed="false">
      <c r="A33" s="0" t="n">
        <v>2006</v>
      </c>
      <c r="B33" s="0" t="s">
        <v>32</v>
      </c>
      <c r="C33" s="0" t="n">
        <v>16</v>
      </c>
      <c r="D33" s="0" t="n">
        <v>1</v>
      </c>
      <c r="E33" s="0" t="n">
        <f aca="false">ROUND(H33,0)</f>
        <v>37</v>
      </c>
      <c r="F33" s="0" t="n">
        <v>219</v>
      </c>
      <c r="G33" s="0" t="n">
        <v>16.9</v>
      </c>
      <c r="H33" s="0" t="n">
        <v>37.011</v>
      </c>
    </row>
    <row r="34" customFormat="false" ht="13.8" hidden="false" customHeight="false" outlineLevel="0" collapsed="false">
      <c r="C34" s="0" t="n">
        <v>16</v>
      </c>
      <c r="D34" s="0" t="n">
        <v>4</v>
      </c>
      <c r="E34" s="0" t="n">
        <f aca="false">ROUND(H34,0)</f>
        <v>173</v>
      </c>
      <c r="F34" s="0" t="n">
        <v>433</v>
      </c>
      <c r="G34" s="0" t="n">
        <v>40</v>
      </c>
      <c r="H34" s="0" t="n">
        <v>173.2</v>
      </c>
    </row>
    <row r="35" customFormat="false" ht="13.8" hidden="false" customHeight="false" outlineLevel="0" collapsed="false">
      <c r="A35" s="0" t="n">
        <v>2004</v>
      </c>
      <c r="B35" s="0" t="s">
        <v>33</v>
      </c>
      <c r="C35" s="0" t="n">
        <v>17</v>
      </c>
      <c r="D35" s="0" t="n">
        <v>1</v>
      </c>
      <c r="E35" s="0" t="n">
        <f aca="false">ROUND(H35,0)</f>
        <v>5</v>
      </c>
      <c r="F35" s="0" t="n">
        <v>40</v>
      </c>
      <c r="G35" s="0" t="n">
        <v>12.5</v>
      </c>
      <c r="H35" s="0" t="n">
        <v>5</v>
      </c>
    </row>
    <row r="36" customFormat="false" ht="13.8" hidden="false" customHeight="false" outlineLevel="0" collapsed="false">
      <c r="C36" s="0" t="n">
        <v>17</v>
      </c>
      <c r="D36" s="0" t="n">
        <v>5</v>
      </c>
      <c r="E36" s="0" t="n">
        <f aca="false">ROUND(H36,0)</f>
        <v>17</v>
      </c>
      <c r="F36" s="0" t="n">
        <v>40</v>
      </c>
      <c r="G36" s="0" t="n">
        <v>42.5</v>
      </c>
      <c r="H36" s="0" t="n">
        <v>17</v>
      </c>
    </row>
    <row r="37" customFormat="false" ht="13.8" hidden="false" customHeight="false" outlineLevel="0" collapsed="false">
      <c r="A37" s="0" t="n">
        <v>2006</v>
      </c>
      <c r="B37" s="0" t="s">
        <v>34</v>
      </c>
      <c r="C37" s="0" t="n">
        <v>18</v>
      </c>
      <c r="D37" s="0" t="n">
        <v>1</v>
      </c>
      <c r="E37" s="0" t="n">
        <f aca="false">ROUND(H37,0)</f>
        <v>16</v>
      </c>
      <c r="F37" s="0" t="n">
        <v>122</v>
      </c>
      <c r="G37" s="0" t="n">
        <v>13</v>
      </c>
      <c r="H37" s="0" t="n">
        <v>15.86</v>
      </c>
    </row>
    <row r="38" customFormat="false" ht="13.8" hidden="false" customHeight="false" outlineLevel="0" collapsed="false">
      <c r="C38" s="0" t="n">
        <v>18</v>
      </c>
      <c r="D38" s="0" t="n">
        <v>5</v>
      </c>
      <c r="E38" s="0" t="n">
        <f aca="false">ROUND(H38,0)</f>
        <v>41</v>
      </c>
      <c r="F38" s="0" t="n">
        <v>122</v>
      </c>
      <c r="G38" s="0" t="n">
        <v>34</v>
      </c>
      <c r="H38" s="0" t="n">
        <v>41.48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2:E38 A1"/>
    </sheetView>
  </sheetViews>
  <sheetFormatPr defaultRowHeight="15" zeroHeight="false" outlineLevelRow="0" outlineLevelCol="0"/>
  <cols>
    <col collapsed="false" customWidth="true" hidden="false" outlineLevel="0" max="1025" min="1" style="0" width="10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2:E38 A1"/>
    </sheetView>
  </sheetViews>
  <sheetFormatPr defaultRowHeight="15" zeroHeight="false" outlineLevelRow="0" outlineLevelCol="0"/>
  <cols>
    <col collapsed="false" customWidth="true" hidden="false" outlineLevel="0" max="1025" min="1" style="0" width="10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750FD1-C5F9-44D2-9889-9F49079A3D39}"/>
</file>

<file path=customXml/itemProps2.xml><?xml version="1.0" encoding="utf-8"?>
<ds:datastoreItem xmlns:ds="http://schemas.openxmlformats.org/officeDocument/2006/customXml" ds:itemID="{F4C88158-EC4A-44E7-96E6-689A97204725}"/>
</file>

<file path=customXml/itemProps3.xml><?xml version="1.0" encoding="utf-8"?>
<ds:datastoreItem xmlns:ds="http://schemas.openxmlformats.org/officeDocument/2006/customXml" ds:itemID="{3332612A-F8FA-4E42-B237-E2665F7AF4E3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LibreOffice/6.0.7.3$Linux_X86_64 LibreOffice_project/00m0$Build-3</Application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Stagiaire_2018</dc:creator>
  <dc:description/>
  <cp:lastModifiedBy>Theodore Papakonstantinou</cp:lastModifiedBy>
  <cp:revision>1</cp:revision>
  <dcterms:created xsi:type="dcterms:W3CDTF">2018-02-26T16:06:07Z</dcterms:created>
  <dcterms:modified xsi:type="dcterms:W3CDTF">2019-05-02T11:15:10Z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ContentTypeId">
    <vt:lpwstr>0x0101002D837B8920D00D4A8EFA68CF1C62BCD5</vt:lpwstr>
  </property>
</Properties>
</file>