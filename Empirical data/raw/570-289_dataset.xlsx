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data/"/>
    </mc:Choice>
  </mc:AlternateContent>
  <xr:revisionPtr revIDLastSave="0" documentId="13_ncr:1_{27462BD2-A879-BD41-99BC-B0B83081B599}" xr6:coauthVersionLast="47" xr6:coauthVersionMax="47" xr10:uidLastSave="{00000000-0000-0000-0000-000000000000}"/>
  <bookViews>
    <workbookView xWindow="720" yWindow="760" windowWidth="30240" windowHeight="17120" xr2:uid="{9299DB83-7A94-8446-BF28-70416977CF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</calcChain>
</file>

<file path=xl/sharedStrings.xml><?xml version="1.0" encoding="utf-8"?>
<sst xmlns="http://schemas.openxmlformats.org/spreadsheetml/2006/main" count="45" uniqueCount="27">
  <si>
    <t>n</t>
  </si>
  <si>
    <t>CT</t>
  </si>
  <si>
    <t>MU</t>
  </si>
  <si>
    <t>VR</t>
  </si>
  <si>
    <t>AV</t>
  </si>
  <si>
    <t>y</t>
    <phoneticPr fontId="3" type="noConversion"/>
  </si>
  <si>
    <t>sd</t>
    <phoneticPr fontId="3" type="noConversion"/>
  </si>
  <si>
    <t>t</t>
    <phoneticPr fontId="3" type="noConversion"/>
  </si>
  <si>
    <t>StudyName</t>
    <phoneticPr fontId="3" type="noConversion"/>
  </si>
  <si>
    <t>Year</t>
    <phoneticPr fontId="3" type="noConversion"/>
  </si>
  <si>
    <t>Sorribes De Ramon LA, 2023a,</t>
  </si>
  <si>
    <t/>
  </si>
  <si>
    <t>Sorribes De Ramon LA, 2023b,</t>
  </si>
  <si>
    <t>Yamashita K, 2022,</t>
  </si>
  <si>
    <t>Du Q, 2022,</t>
  </si>
  <si>
    <t>Menziletoglu D, 2021,</t>
  </si>
  <si>
    <t>Gs G, 2021,</t>
  </si>
  <si>
    <t>Yamashita Y, 2020,</t>
  </si>
  <si>
    <t>Luque-Ribas M, 2020a,</t>
  </si>
  <si>
    <t>Luque-Ribas M, 2020b,</t>
  </si>
  <si>
    <t>Luque-Ribas M, 2020c,</t>
  </si>
  <si>
    <t>Yamashita K, 2019,</t>
  </si>
  <si>
    <t>Miyata K, 2016a,</t>
  </si>
  <si>
    <t>Miyata K, 2016b,</t>
  </si>
  <si>
    <t>Kim YK, 2011,</t>
  </si>
  <si>
    <t>Prabhakar AR, 2007,</t>
  </si>
  <si>
    <t>StudyID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</si>
</sst>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b/>
      <sz val="12"/>
      <color rgb="FF222222"/>
      <name val="Helvetica Neue"/>
      <family val="2"/>
    </font>
    <font>
      <sz val="12"/>
      <color rgb="FF222222"/>
      <name val="Helvetica Neue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02BE7-BB4A-774D-AA1A-3F2284E3E90E}">
  <dimension ref="A1:K35"/>
  <sheetViews>
    <sheetView tabSelected="1" workbookViewId="0">
      <selection activeCell="B6" sqref="B6"/>
    </sheetView>
  </sheetViews>
  <sheetFormatPr baseColWidth="10" defaultRowHeight="16"/>
  <cols>
    <col min="1" max="1" width="7.33203125" bestFit="1" customWidth="1"/>
    <col min="2" max="2" width="27.1640625" customWidth="1"/>
    <col min="3" max="3" width="7.6640625" customWidth="1"/>
    <col min="4" max="4" width="13.33203125" bestFit="1" customWidth="1"/>
    <col min="5" max="5" width="16.83203125" bestFit="1" customWidth="1"/>
    <col min="6" max="6" width="14" bestFit="1" customWidth="1"/>
    <col min="7" max="7" width="5.5" bestFit="1" customWidth="1"/>
    <col min="8" max="8" width="18.6640625" bestFit="1" customWidth="1"/>
  </cols>
  <sheetData>
    <row r="1" spans="1:11">
      <c r="A1" s="1" t="s">
        <v>26</v>
      </c>
      <c r="B1" s="1" t="s">
        <v>8</v>
      </c>
      <c r="C1" s="1" t="s">
        <v>9</v>
      </c>
      <c r="D1" s="1" t="s">
        <v>7</v>
      </c>
      <c r="E1" s="1" t="s">
        <v>5</v>
      </c>
      <c r="F1" s="1" t="s">
        <v>6</v>
      </c>
      <c r="G1" s="1" t="s">
        <v>0</v>
      </c>
      <c r="H1" s="1"/>
    </row>
    <row r="2" spans="1:11">
      <c r="A2" s="2">
        <v>1</v>
      </c>
      <c r="B2" t="s">
        <v>10</v>
      </c>
      <c r="C2">
        <v>2023</v>
      </c>
      <c r="D2" s="2">
        <v>2</v>
      </c>
      <c r="E2" s="2">
        <v>-3.53</v>
      </c>
      <c r="F2" s="2">
        <v>2.56</v>
      </c>
      <c r="G2" s="2">
        <v>91</v>
      </c>
      <c r="H2" s="2"/>
      <c r="J2" s="2">
        <v>1</v>
      </c>
      <c r="K2" t="s">
        <v>4</v>
      </c>
    </row>
    <row r="3" spans="1:11">
      <c r="A3">
        <f>IF(B3="",A2,A2+1)</f>
        <v>1</v>
      </c>
      <c r="B3" t="s">
        <v>11</v>
      </c>
      <c r="C3">
        <v>2023</v>
      </c>
      <c r="D3" s="2">
        <v>3</v>
      </c>
      <c r="E3" s="2">
        <v>-7.74</v>
      </c>
      <c r="F3" s="2">
        <v>3.53</v>
      </c>
      <c r="G3" s="2">
        <v>91</v>
      </c>
      <c r="H3" s="2"/>
      <c r="J3" s="2">
        <v>2</v>
      </c>
      <c r="K3" t="s">
        <v>1</v>
      </c>
    </row>
    <row r="4" spans="1:11">
      <c r="A4">
        <f t="shared" ref="A4:A35" si="0">IF(B4="",A3,A3+1)</f>
        <v>1</v>
      </c>
      <c r="B4" t="s">
        <v>11</v>
      </c>
      <c r="C4">
        <v>2023</v>
      </c>
      <c r="D4" s="2">
        <v>4</v>
      </c>
      <c r="E4" s="2">
        <v>-5.83</v>
      </c>
      <c r="F4" s="2">
        <v>2.76</v>
      </c>
      <c r="G4" s="2">
        <v>93</v>
      </c>
      <c r="H4" s="2"/>
      <c r="J4" s="2">
        <v>3</v>
      </c>
      <c r="K4" t="s">
        <v>2</v>
      </c>
    </row>
    <row r="5" spans="1:11">
      <c r="A5">
        <f t="shared" si="0"/>
        <v>2</v>
      </c>
      <c r="B5" t="s">
        <v>12</v>
      </c>
      <c r="C5">
        <v>2023</v>
      </c>
      <c r="D5" s="2">
        <v>2</v>
      </c>
      <c r="E5" s="2">
        <v>-3.1</v>
      </c>
      <c r="F5" s="2">
        <v>10.51</v>
      </c>
      <c r="G5" s="2">
        <v>91</v>
      </c>
      <c r="H5" s="2"/>
      <c r="J5" s="2">
        <v>4</v>
      </c>
      <c r="K5" t="s">
        <v>3</v>
      </c>
    </row>
    <row r="6" spans="1:11">
      <c r="A6">
        <f t="shared" si="0"/>
        <v>2</v>
      </c>
      <c r="B6" t="s">
        <v>11</v>
      </c>
      <c r="C6">
        <v>2023</v>
      </c>
      <c r="D6" s="2">
        <v>3</v>
      </c>
      <c r="E6" s="2">
        <v>-8.41</v>
      </c>
      <c r="F6" s="2">
        <v>8.5399999999999991</v>
      </c>
      <c r="G6" s="2">
        <v>91</v>
      </c>
      <c r="H6" s="2"/>
    </row>
    <row r="7" spans="1:11">
      <c r="A7">
        <f t="shared" si="0"/>
        <v>2</v>
      </c>
      <c r="B7" t="s">
        <v>11</v>
      </c>
      <c r="C7">
        <v>2023</v>
      </c>
      <c r="D7" s="2">
        <v>4</v>
      </c>
      <c r="E7" s="2">
        <v>-3.98</v>
      </c>
      <c r="F7" s="2">
        <v>10.01</v>
      </c>
      <c r="G7" s="2">
        <v>93</v>
      </c>
      <c r="H7" s="2"/>
    </row>
    <row r="8" spans="1:11">
      <c r="A8">
        <f t="shared" si="0"/>
        <v>3</v>
      </c>
      <c r="B8" t="s">
        <v>13</v>
      </c>
      <c r="C8">
        <v>2022</v>
      </c>
      <c r="D8" s="2">
        <v>2</v>
      </c>
      <c r="E8" s="2">
        <v>-3.92</v>
      </c>
      <c r="F8" s="2">
        <v>9.0399999999999991</v>
      </c>
      <c r="G8" s="2">
        <v>18</v>
      </c>
      <c r="H8" s="2"/>
    </row>
    <row r="9" spans="1:11">
      <c r="A9">
        <f t="shared" si="0"/>
        <v>3</v>
      </c>
      <c r="B9" t="s">
        <v>11</v>
      </c>
      <c r="C9">
        <v>2022</v>
      </c>
      <c r="D9" s="2">
        <v>3</v>
      </c>
      <c r="E9" s="2">
        <v>-12.46</v>
      </c>
      <c r="F9" s="2">
        <v>12.29</v>
      </c>
      <c r="G9" s="2">
        <v>17</v>
      </c>
      <c r="H9" s="2"/>
    </row>
    <row r="10" spans="1:11">
      <c r="A10">
        <f t="shared" si="0"/>
        <v>4</v>
      </c>
      <c r="B10" t="s">
        <v>14</v>
      </c>
      <c r="C10">
        <v>2022</v>
      </c>
      <c r="D10" s="2">
        <v>2</v>
      </c>
      <c r="E10" s="2">
        <v>-1.6</v>
      </c>
      <c r="F10" s="2">
        <v>15.51</v>
      </c>
      <c r="G10" s="2">
        <v>42</v>
      </c>
      <c r="H10" s="2"/>
    </row>
    <row r="11" spans="1:11">
      <c r="A11">
        <f t="shared" si="0"/>
        <v>4</v>
      </c>
      <c r="B11" t="s">
        <v>11</v>
      </c>
      <c r="C11">
        <v>2022</v>
      </c>
      <c r="D11" s="2">
        <v>4</v>
      </c>
      <c r="E11" s="2">
        <v>-2.2599999999999998</v>
      </c>
      <c r="F11" s="2">
        <v>13.52</v>
      </c>
      <c r="G11" s="2">
        <v>41</v>
      </c>
      <c r="H11" s="2"/>
    </row>
    <row r="12" spans="1:11">
      <c r="A12">
        <f t="shared" si="0"/>
        <v>5</v>
      </c>
      <c r="B12" t="s">
        <v>15</v>
      </c>
      <c r="C12">
        <v>2021</v>
      </c>
      <c r="D12" s="2">
        <v>2</v>
      </c>
      <c r="E12" s="2">
        <v>-0.15</v>
      </c>
      <c r="F12" s="2">
        <v>2.99</v>
      </c>
      <c r="G12" s="2">
        <v>30</v>
      </c>
      <c r="H12" s="2"/>
    </row>
    <row r="13" spans="1:11">
      <c r="A13">
        <f t="shared" si="0"/>
        <v>5</v>
      </c>
      <c r="B13" t="s">
        <v>11</v>
      </c>
      <c r="C13">
        <v>2021</v>
      </c>
      <c r="D13" s="2">
        <v>3</v>
      </c>
      <c r="E13" s="2">
        <v>-1.77</v>
      </c>
      <c r="F13" s="2">
        <v>2.33</v>
      </c>
      <c r="G13" s="2">
        <v>30</v>
      </c>
      <c r="H13" s="2"/>
    </row>
    <row r="14" spans="1:11">
      <c r="A14">
        <f t="shared" si="0"/>
        <v>6</v>
      </c>
      <c r="B14" t="s">
        <v>16</v>
      </c>
      <c r="C14">
        <v>2021</v>
      </c>
      <c r="D14" s="2">
        <v>2</v>
      </c>
      <c r="E14" s="2">
        <v>3</v>
      </c>
      <c r="F14" s="2">
        <v>1</v>
      </c>
      <c r="G14" s="2">
        <v>28</v>
      </c>
      <c r="H14" s="2"/>
    </row>
    <row r="15" spans="1:11">
      <c r="A15">
        <f t="shared" si="0"/>
        <v>6</v>
      </c>
      <c r="B15" t="s">
        <v>11</v>
      </c>
      <c r="C15">
        <v>2021</v>
      </c>
      <c r="D15" s="2">
        <v>3</v>
      </c>
      <c r="E15" s="2">
        <v>1.8</v>
      </c>
      <c r="F15" s="2">
        <v>0.5</v>
      </c>
      <c r="G15" s="2">
        <v>28</v>
      </c>
      <c r="H15" s="2"/>
    </row>
    <row r="16" spans="1:11">
      <c r="A16">
        <f t="shared" si="0"/>
        <v>6</v>
      </c>
      <c r="B16" t="s">
        <v>11</v>
      </c>
      <c r="C16">
        <v>2021</v>
      </c>
      <c r="D16" s="2">
        <v>4</v>
      </c>
      <c r="E16" s="2">
        <v>1.5</v>
      </c>
      <c r="F16" s="2">
        <v>0.5</v>
      </c>
      <c r="G16" s="2">
        <v>28</v>
      </c>
      <c r="H16" s="2"/>
    </row>
    <row r="17" spans="1:8">
      <c r="A17">
        <f t="shared" si="0"/>
        <v>7</v>
      </c>
      <c r="B17" t="s">
        <v>17</v>
      </c>
      <c r="C17">
        <v>2020</v>
      </c>
      <c r="D17" s="2">
        <v>2</v>
      </c>
      <c r="E17" s="2">
        <v>4</v>
      </c>
      <c r="F17" s="2">
        <v>22.3</v>
      </c>
      <c r="G17" s="2">
        <v>49</v>
      </c>
      <c r="H17" s="2"/>
    </row>
    <row r="18" spans="1:8">
      <c r="A18">
        <f t="shared" si="0"/>
        <v>7</v>
      </c>
      <c r="B18" t="s">
        <v>11</v>
      </c>
      <c r="C18">
        <v>2020</v>
      </c>
      <c r="D18" s="2">
        <v>4</v>
      </c>
      <c r="E18" s="2">
        <v>-13.3</v>
      </c>
      <c r="F18" s="2">
        <v>28.7</v>
      </c>
      <c r="G18" s="2">
        <v>51</v>
      </c>
      <c r="H18" s="2"/>
    </row>
    <row r="19" spans="1:8">
      <c r="A19">
        <f t="shared" si="0"/>
        <v>8</v>
      </c>
      <c r="B19" t="s">
        <v>18</v>
      </c>
      <c r="C19">
        <v>2020</v>
      </c>
      <c r="D19" s="2">
        <v>2</v>
      </c>
      <c r="E19" s="2">
        <v>-1.9</v>
      </c>
      <c r="F19" s="2">
        <v>4.6399999999999997</v>
      </c>
      <c r="G19" s="2">
        <v>15</v>
      </c>
      <c r="H19" s="2"/>
    </row>
    <row r="20" spans="1:8">
      <c r="A20">
        <f t="shared" si="0"/>
        <v>8</v>
      </c>
      <c r="B20" t="s">
        <v>11</v>
      </c>
      <c r="C20">
        <v>2020</v>
      </c>
      <c r="D20" s="2">
        <v>1</v>
      </c>
      <c r="E20" s="2">
        <v>-2.8</v>
      </c>
      <c r="F20" s="2">
        <v>4.3600000000000003</v>
      </c>
      <c r="G20" s="2">
        <v>15</v>
      </c>
      <c r="H20" s="2"/>
    </row>
    <row r="21" spans="1:8">
      <c r="A21">
        <f t="shared" si="0"/>
        <v>9</v>
      </c>
      <c r="B21" t="s">
        <v>19</v>
      </c>
      <c r="C21">
        <v>2020</v>
      </c>
      <c r="D21" s="2">
        <v>2</v>
      </c>
      <c r="E21" s="2">
        <v>-0.6</v>
      </c>
      <c r="F21" s="2">
        <v>4.8600000000000003</v>
      </c>
      <c r="G21" s="2">
        <v>15</v>
      </c>
      <c r="H21" s="2"/>
    </row>
    <row r="22" spans="1:8">
      <c r="A22">
        <f t="shared" si="0"/>
        <v>9</v>
      </c>
      <c r="B22" t="s">
        <v>11</v>
      </c>
      <c r="C22">
        <v>2020</v>
      </c>
      <c r="D22" s="2">
        <v>1</v>
      </c>
      <c r="E22" s="2">
        <v>0.3</v>
      </c>
      <c r="F22" s="2">
        <v>6.6</v>
      </c>
      <c r="G22" s="2">
        <v>15</v>
      </c>
      <c r="H22" s="2"/>
    </row>
    <row r="23" spans="1:8">
      <c r="A23">
        <f t="shared" si="0"/>
        <v>10</v>
      </c>
      <c r="B23" t="s">
        <v>20</v>
      </c>
      <c r="C23">
        <v>2020</v>
      </c>
      <c r="D23" s="2">
        <v>2</v>
      </c>
      <c r="E23" s="2">
        <v>1.2</v>
      </c>
      <c r="F23" s="2">
        <v>7.61</v>
      </c>
      <c r="G23" s="2">
        <v>15</v>
      </c>
      <c r="H23" s="2"/>
    </row>
    <row r="24" spans="1:8">
      <c r="A24">
        <f t="shared" si="0"/>
        <v>10</v>
      </c>
      <c r="B24" t="s">
        <v>11</v>
      </c>
      <c r="C24">
        <v>2020</v>
      </c>
      <c r="D24" s="2">
        <v>1</v>
      </c>
      <c r="E24" s="2">
        <v>0.6</v>
      </c>
      <c r="F24" s="2">
        <v>5.05</v>
      </c>
      <c r="G24" s="2">
        <v>15</v>
      </c>
      <c r="H24" s="2"/>
    </row>
    <row r="25" spans="1:8">
      <c r="A25">
        <f t="shared" si="0"/>
        <v>11</v>
      </c>
      <c r="B25" t="s">
        <v>21</v>
      </c>
      <c r="C25">
        <v>2019</v>
      </c>
      <c r="D25" s="2">
        <v>2</v>
      </c>
      <c r="E25" s="2">
        <v>-2.8</v>
      </c>
      <c r="F25" s="2">
        <v>11.21</v>
      </c>
      <c r="G25" s="2">
        <v>17</v>
      </c>
      <c r="H25" s="2"/>
    </row>
    <row r="26" spans="1:8">
      <c r="A26">
        <f t="shared" si="0"/>
        <v>11</v>
      </c>
      <c r="B26" t="s">
        <v>11</v>
      </c>
      <c r="C26">
        <v>2019</v>
      </c>
      <c r="D26" s="2">
        <v>3</v>
      </c>
      <c r="E26" s="2">
        <v>-13.13</v>
      </c>
      <c r="F26" s="2">
        <v>16</v>
      </c>
      <c r="G26" s="2">
        <v>17</v>
      </c>
      <c r="H26" s="2"/>
    </row>
    <row r="27" spans="1:8">
      <c r="A27">
        <f t="shared" si="0"/>
        <v>12</v>
      </c>
      <c r="B27" t="s">
        <v>22</v>
      </c>
      <c r="C27">
        <v>2016</v>
      </c>
      <c r="D27" s="2">
        <v>2</v>
      </c>
      <c r="E27" s="2">
        <v>2.38</v>
      </c>
      <c r="F27" s="2">
        <v>11.38</v>
      </c>
      <c r="G27" s="2">
        <v>21</v>
      </c>
      <c r="H27" s="2"/>
    </row>
    <row r="28" spans="1:8">
      <c r="A28">
        <f t="shared" si="0"/>
        <v>12</v>
      </c>
      <c r="B28" t="s">
        <v>11</v>
      </c>
      <c r="C28">
        <v>2016</v>
      </c>
      <c r="D28" s="2">
        <v>3</v>
      </c>
      <c r="E28" s="2">
        <v>-11.7</v>
      </c>
      <c r="F28" s="2">
        <v>14.9</v>
      </c>
      <c r="G28" s="2">
        <v>21</v>
      </c>
      <c r="H28" s="2"/>
    </row>
    <row r="29" spans="1:8">
      <c r="A29">
        <f t="shared" si="0"/>
        <v>13</v>
      </c>
      <c r="B29" t="s">
        <v>23</v>
      </c>
      <c r="C29">
        <v>2016</v>
      </c>
      <c r="D29" s="2">
        <v>2</v>
      </c>
      <c r="E29" s="2">
        <v>0.52</v>
      </c>
      <c r="F29" s="2">
        <v>7.04</v>
      </c>
      <c r="G29" s="2">
        <v>21</v>
      </c>
      <c r="H29" s="2"/>
    </row>
    <row r="30" spans="1:8">
      <c r="A30">
        <f t="shared" si="0"/>
        <v>13</v>
      </c>
      <c r="B30" t="s">
        <v>11</v>
      </c>
      <c r="C30">
        <v>2016</v>
      </c>
      <c r="D30" s="2">
        <v>3</v>
      </c>
      <c r="E30" s="2">
        <v>-3.38</v>
      </c>
      <c r="F30" s="2">
        <v>6.76</v>
      </c>
      <c r="G30" s="2">
        <v>21</v>
      </c>
      <c r="H30" s="2"/>
    </row>
    <row r="31" spans="1:8">
      <c r="A31">
        <f t="shared" si="0"/>
        <v>14</v>
      </c>
      <c r="B31" t="s">
        <v>24</v>
      </c>
      <c r="C31">
        <v>2011</v>
      </c>
      <c r="D31" s="2">
        <v>2</v>
      </c>
      <c r="E31" s="2">
        <v>0.36</v>
      </c>
      <c r="F31" s="2">
        <v>3</v>
      </c>
      <c r="G31" s="2">
        <v>113</v>
      </c>
      <c r="H31" s="2"/>
    </row>
    <row r="32" spans="1:8">
      <c r="A32">
        <f t="shared" si="0"/>
        <v>14</v>
      </c>
      <c r="B32" t="s">
        <v>11</v>
      </c>
      <c r="C32">
        <v>2011</v>
      </c>
      <c r="D32" s="2">
        <v>3</v>
      </c>
      <c r="E32" s="2">
        <v>-0.3</v>
      </c>
      <c r="F32" s="2">
        <v>3.17</v>
      </c>
      <c r="G32" s="2">
        <v>106</v>
      </c>
      <c r="H32" s="2"/>
    </row>
    <row r="33" spans="1:8">
      <c r="A33">
        <f t="shared" si="0"/>
        <v>15</v>
      </c>
      <c r="B33" t="s">
        <v>25</v>
      </c>
      <c r="C33">
        <v>2007</v>
      </c>
      <c r="D33" s="2">
        <v>2</v>
      </c>
      <c r="E33" s="2">
        <v>1.3</v>
      </c>
      <c r="F33" s="2">
        <v>1</v>
      </c>
      <c r="G33" s="2">
        <v>20</v>
      </c>
      <c r="H33" s="2"/>
    </row>
    <row r="34" spans="1:8">
      <c r="A34">
        <f t="shared" si="0"/>
        <v>15</v>
      </c>
      <c r="B34" t="s">
        <v>11</v>
      </c>
      <c r="C34">
        <v>2007</v>
      </c>
      <c r="D34" s="2">
        <v>3</v>
      </c>
      <c r="E34" s="2">
        <v>1.7</v>
      </c>
      <c r="F34" s="2">
        <v>1.1000000000000001</v>
      </c>
      <c r="G34" s="2">
        <v>20</v>
      </c>
      <c r="H34" s="2"/>
    </row>
    <row r="35" spans="1:8">
      <c r="A35">
        <f t="shared" si="0"/>
        <v>15</v>
      </c>
      <c r="B35" t="s">
        <v>11</v>
      </c>
      <c r="C35">
        <v>2007</v>
      </c>
      <c r="D35" s="2">
        <v>1</v>
      </c>
      <c r="E35" s="2">
        <v>1.1000000000000001</v>
      </c>
      <c r="F35" s="2">
        <v>0.9</v>
      </c>
      <c r="G35" s="2">
        <v>20</v>
      </c>
      <c r="H35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2026-02-23T21:48:18Z</dcterms:created>
  <dcterms:modified xsi:type="dcterms:W3CDTF">2026-02-26T13:31:09Z</dcterms:modified>
</cp:coreProperties>
</file>