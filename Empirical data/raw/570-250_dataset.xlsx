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uob.sharepoint.com/teams/grp-NMAdatabase/Shared Documents/General/Extractions/MH/SD First Sample/Data/"/>
    </mc:Choice>
  </mc:AlternateContent>
  <xr:revisionPtr revIDLastSave="36" documentId="8_{2E12EA27-A4EB-4DF8-A319-0C7DA238C246}" xr6:coauthVersionLast="47" xr6:coauthVersionMax="47" xr10:uidLastSave="{B81AFC8F-095E-46D6-883E-3B08A3535766}"/>
  <bookViews>
    <workbookView xWindow="-120" yWindow="-120" windowWidth="29040" windowHeight="15720" xr2:uid="{00000000-000D-0000-FFFF-FFFF00000000}"/>
  </bookViews>
  <sheets>
    <sheet name="Binary or survival" sheetId="1" r:id="rId1"/>
    <sheet name="Continuous" sheetId="2" r:id="rId2"/>
    <sheet name="Rate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1" l="1"/>
</calcChain>
</file>

<file path=xl/sharedStrings.xml><?xml version="1.0" encoding="utf-8"?>
<sst xmlns="http://schemas.openxmlformats.org/spreadsheetml/2006/main" count="68" uniqueCount="42">
  <si>
    <t>StudyName</t>
  </si>
  <si>
    <t>Year</t>
  </si>
  <si>
    <t>StudyID</t>
  </si>
  <si>
    <t>t1</t>
  </si>
  <si>
    <t>n1</t>
  </si>
  <si>
    <t>r1</t>
  </si>
  <si>
    <t>t2</t>
  </si>
  <si>
    <t>n2</t>
  </si>
  <si>
    <t>r2</t>
  </si>
  <si>
    <t>t3</t>
  </si>
  <si>
    <t>n3</t>
  </si>
  <si>
    <t>r3</t>
  </si>
  <si>
    <t>Treatments</t>
  </si>
  <si>
    <t>Author1</t>
  </si>
  <si>
    <t>placebo</t>
  </si>
  <si>
    <t>Author2</t>
  </si>
  <si>
    <t>aspirin</t>
  </si>
  <si>
    <t>paracetamol</t>
  </si>
  <si>
    <t>ibruprofen</t>
  </si>
  <si>
    <t>y1</t>
  </si>
  <si>
    <t>sd1</t>
  </si>
  <si>
    <t>y2</t>
  </si>
  <si>
    <t>sd2</t>
  </si>
  <si>
    <t>y3</t>
  </si>
  <si>
    <t>sd3</t>
  </si>
  <si>
    <t>time1</t>
  </si>
  <si>
    <t>time2</t>
  </si>
  <si>
    <t>time3</t>
  </si>
  <si>
    <t>Griffin</t>
  </si>
  <si>
    <t>O’Brien</t>
  </si>
  <si>
    <t>Subramanian</t>
  </si>
  <si>
    <t>Hammitt</t>
  </si>
  <si>
    <t>Feltes</t>
  </si>
  <si>
    <t>Impact‑RSV</t>
  </si>
  <si>
    <t>Simões</t>
  </si>
  <si>
    <t>Demontcheva</t>
  </si>
  <si>
    <t>Fernández</t>
  </si>
  <si>
    <t>Nirsevimab</t>
  </si>
  <si>
    <t>Motavizumab</t>
  </si>
  <si>
    <t>Palivizumab</t>
  </si>
  <si>
    <t>Suptavumab</t>
  </si>
  <si>
    <t>motavizumab + palivizumab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</si>
</sst>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>
      <selection activeCell="D12" sqref="D12"/>
    </sheetView>
  </sheetViews>
  <sheetFormatPr defaultRowHeight="15" x14ac:dyDescent="0.25"/>
  <cols>
    <col min="1" max="1" width="10.42578125" bestFit="1" customWidth="1"/>
    <col min="2" max="2" width="9.140625" customWidth="1"/>
  </cols>
  <sheetData>
    <row r="1" spans="1:10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  <c r="I1" s="1" t="s">
        <v>12</v>
      </c>
    </row>
    <row r="2" spans="1:10" ht="17.25" thickBot="1" x14ac:dyDescent="0.3">
      <c r="A2" s="2" t="s">
        <v>28</v>
      </c>
      <c r="B2" s="2">
        <v>2020</v>
      </c>
      <c r="C2">
        <v>1</v>
      </c>
      <c r="D2" s="2">
        <v>2</v>
      </c>
      <c r="E2" s="2">
        <v>96</v>
      </c>
      <c r="F2">
        <v>1</v>
      </c>
      <c r="G2" s="2">
        <v>94</v>
      </c>
      <c r="I2">
        <v>1</v>
      </c>
      <c r="J2" t="s">
        <v>14</v>
      </c>
    </row>
    <row r="3" spans="1:10" ht="17.25" thickBot="1" x14ac:dyDescent="0.3">
      <c r="A3" s="2" t="s">
        <v>29</v>
      </c>
      <c r="B3" s="2">
        <v>2015</v>
      </c>
      <c r="C3">
        <v>2</v>
      </c>
      <c r="D3" s="2">
        <v>3</v>
      </c>
      <c r="E3" s="2">
        <v>1417</v>
      </c>
      <c r="F3">
        <v>1</v>
      </c>
      <c r="G3" s="2">
        <v>710</v>
      </c>
      <c r="I3">
        <v>2</v>
      </c>
      <c r="J3" t="s">
        <v>37</v>
      </c>
    </row>
    <row r="4" spans="1:10" ht="17.25" thickBot="1" x14ac:dyDescent="0.3">
      <c r="A4" s="2" t="s">
        <v>30</v>
      </c>
      <c r="B4" s="2">
        <v>1998</v>
      </c>
      <c r="C4">
        <v>3</v>
      </c>
      <c r="D4" s="2">
        <v>4</v>
      </c>
      <c r="E4" s="2">
        <v>42</v>
      </c>
      <c r="F4">
        <v>1</v>
      </c>
      <c r="G4" s="2">
        <v>20</v>
      </c>
      <c r="I4">
        <v>3</v>
      </c>
      <c r="J4" t="s">
        <v>38</v>
      </c>
    </row>
    <row r="5" spans="1:10" ht="17.25" thickBot="1" x14ac:dyDescent="0.3">
      <c r="A5" s="2" t="s">
        <v>31</v>
      </c>
      <c r="B5" s="2">
        <v>2022</v>
      </c>
      <c r="C5">
        <v>4</v>
      </c>
      <c r="D5" s="2">
        <v>2</v>
      </c>
      <c r="E5" s="2">
        <v>993</v>
      </c>
      <c r="F5">
        <v>1</v>
      </c>
      <c r="G5" s="2">
        <v>497</v>
      </c>
      <c r="I5">
        <v>4</v>
      </c>
      <c r="J5" t="s">
        <v>39</v>
      </c>
    </row>
    <row r="6" spans="1:10" ht="17.25" thickBot="1" x14ac:dyDescent="0.3">
      <c r="A6" s="2" t="s">
        <v>32</v>
      </c>
      <c r="B6" s="2">
        <v>2011</v>
      </c>
      <c r="C6">
        <v>5</v>
      </c>
      <c r="D6" s="2">
        <v>3</v>
      </c>
      <c r="E6" s="2">
        <v>623</v>
      </c>
      <c r="F6" s="2">
        <v>4</v>
      </c>
      <c r="G6" s="2">
        <v>612</v>
      </c>
      <c r="I6">
        <v>5</v>
      </c>
      <c r="J6" t="s">
        <v>40</v>
      </c>
    </row>
    <row r="7" spans="1:10" ht="17.25" thickBot="1" x14ac:dyDescent="0.3">
      <c r="A7" s="2" t="s">
        <v>32</v>
      </c>
      <c r="B7" s="2">
        <v>2003</v>
      </c>
      <c r="C7">
        <v>6</v>
      </c>
      <c r="D7" s="2">
        <v>4</v>
      </c>
      <c r="E7" s="2">
        <v>580</v>
      </c>
      <c r="F7">
        <v>1</v>
      </c>
      <c r="G7" s="2">
        <v>589</v>
      </c>
      <c r="I7">
        <v>6</v>
      </c>
      <c r="J7" t="s">
        <v>41</v>
      </c>
    </row>
    <row r="8" spans="1:10" ht="17.25" thickBot="1" x14ac:dyDescent="0.3">
      <c r="A8" s="2" t="s">
        <v>33</v>
      </c>
      <c r="B8" s="2">
        <v>1998</v>
      </c>
      <c r="C8">
        <v>7</v>
      </c>
      <c r="D8" s="2">
        <v>5</v>
      </c>
      <c r="E8" s="2">
        <v>233</v>
      </c>
      <c r="F8">
        <v>1</v>
      </c>
      <c r="G8" s="2">
        <v>235</v>
      </c>
    </row>
    <row r="9" spans="1:10" ht="17.25" thickBot="1" x14ac:dyDescent="0.3">
      <c r="A9" s="2" t="s">
        <v>34</v>
      </c>
      <c r="B9" s="2">
        <v>2021</v>
      </c>
      <c r="C9">
        <v>8</v>
      </c>
      <c r="D9" s="2">
        <v>4</v>
      </c>
      <c r="E9" s="2">
        <v>769</v>
      </c>
      <c r="F9">
        <v>1</v>
      </c>
      <c r="G9" s="2">
        <v>380</v>
      </c>
    </row>
    <row r="10" spans="1:10" ht="17.25" thickBot="1" x14ac:dyDescent="0.3">
      <c r="A10" s="2" t="s">
        <v>35</v>
      </c>
      <c r="B10" s="2">
        <v>2018</v>
      </c>
      <c r="C10">
        <v>9</v>
      </c>
      <c r="D10" s="2">
        <v>2</v>
      </c>
      <c r="E10" s="2">
        <v>95</v>
      </c>
      <c r="F10">
        <v>1</v>
      </c>
      <c r="G10" s="2">
        <v>20</v>
      </c>
    </row>
    <row r="11" spans="1:10" ht="17.25" thickBot="1" x14ac:dyDescent="0.3">
      <c r="A11" s="2" t="s">
        <v>36</v>
      </c>
      <c r="B11" s="2">
        <v>2020</v>
      </c>
      <c r="C11">
        <v>10</v>
      </c>
      <c r="D11" s="2">
        <v>6</v>
      </c>
      <c r="E11" s="2">
        <f>83+84</f>
        <v>167</v>
      </c>
      <c r="F11">
        <v>1</v>
      </c>
      <c r="G11" s="2">
        <v>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2C48D-D89E-465D-BC57-5389B2B1D901}">
  <dimension ref="A1:R5"/>
  <sheetViews>
    <sheetView workbookViewId="0">
      <selection activeCell="F14" sqref="F14"/>
    </sheetView>
  </sheetViews>
  <sheetFormatPr defaultRowHeight="15" x14ac:dyDescent="0.25"/>
  <cols>
    <col min="1" max="1" width="10.42578125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19</v>
      </c>
      <c r="G1" s="1" t="s">
        <v>20</v>
      </c>
      <c r="H1" s="1" t="s">
        <v>6</v>
      </c>
      <c r="I1" s="1" t="s">
        <v>7</v>
      </c>
      <c r="J1" s="1" t="s">
        <v>21</v>
      </c>
      <c r="K1" s="1" t="s">
        <v>22</v>
      </c>
      <c r="L1" s="1" t="s">
        <v>9</v>
      </c>
      <c r="M1" s="1" t="s">
        <v>10</v>
      </c>
      <c r="N1" s="1" t="s">
        <v>23</v>
      </c>
      <c r="O1" s="1" t="s">
        <v>24</v>
      </c>
      <c r="Q1" s="1" t="s">
        <v>12</v>
      </c>
    </row>
    <row r="2" spans="1:18" x14ac:dyDescent="0.25">
      <c r="A2" t="s">
        <v>13</v>
      </c>
      <c r="B2">
        <v>2010</v>
      </c>
      <c r="C2">
        <v>1</v>
      </c>
      <c r="D2">
        <v>1</v>
      </c>
      <c r="E2">
        <v>543</v>
      </c>
      <c r="F2">
        <v>2.2999999999999998</v>
      </c>
      <c r="G2">
        <v>0.8</v>
      </c>
      <c r="H2">
        <v>2</v>
      </c>
      <c r="I2">
        <v>561</v>
      </c>
      <c r="J2">
        <v>4.2</v>
      </c>
      <c r="K2">
        <v>1.3</v>
      </c>
      <c r="Q2">
        <v>1</v>
      </c>
      <c r="R2" t="s">
        <v>14</v>
      </c>
    </row>
    <row r="3" spans="1:18" x14ac:dyDescent="0.25">
      <c r="A3" t="s">
        <v>15</v>
      </c>
      <c r="B3">
        <v>2017</v>
      </c>
      <c r="C3">
        <v>2</v>
      </c>
      <c r="D3">
        <v>2</v>
      </c>
      <c r="E3">
        <v>42</v>
      </c>
      <c r="F3">
        <v>3.7</v>
      </c>
      <c r="G3">
        <v>1.4</v>
      </c>
      <c r="H3">
        <v>3</v>
      </c>
      <c r="I3">
        <v>47</v>
      </c>
      <c r="J3">
        <v>2.2999999999999998</v>
      </c>
      <c r="K3">
        <v>0.9</v>
      </c>
      <c r="L3">
        <v>4</v>
      </c>
      <c r="M3">
        <v>39</v>
      </c>
      <c r="N3">
        <v>1.5</v>
      </c>
      <c r="O3">
        <v>0.6</v>
      </c>
      <c r="Q3">
        <v>2</v>
      </c>
      <c r="R3" t="s">
        <v>16</v>
      </c>
    </row>
    <row r="4" spans="1:18" x14ac:dyDescent="0.25">
      <c r="Q4">
        <v>3</v>
      </c>
      <c r="R4" t="s">
        <v>17</v>
      </c>
    </row>
    <row r="5" spans="1:18" x14ac:dyDescent="0.25">
      <c r="Q5">
        <v>4</v>
      </c>
      <c r="R5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3EAB1-D77A-4A3F-B931-8CA19DAB910E}">
  <dimension ref="A1:R5"/>
  <sheetViews>
    <sheetView workbookViewId="0">
      <selection activeCell="O15" sqref="O15"/>
    </sheetView>
  </sheetViews>
  <sheetFormatPr defaultRowHeight="15" x14ac:dyDescent="0.25"/>
  <cols>
    <col min="1" max="1" width="10.42578125" bestFit="1" customWidth="1"/>
    <col min="2" max="2" width="10.42578125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25</v>
      </c>
      <c r="H1" s="1" t="s">
        <v>6</v>
      </c>
      <c r="I1" s="1" t="s">
        <v>7</v>
      </c>
      <c r="J1" s="1" t="s">
        <v>8</v>
      </c>
      <c r="K1" s="1" t="s">
        <v>26</v>
      </c>
      <c r="L1" s="1" t="s">
        <v>9</v>
      </c>
      <c r="M1" s="1" t="s">
        <v>10</v>
      </c>
      <c r="N1" s="1" t="s">
        <v>11</v>
      </c>
      <c r="O1" s="1" t="s">
        <v>27</v>
      </c>
      <c r="Q1" s="1" t="s">
        <v>12</v>
      </c>
    </row>
    <row r="2" spans="1:18" x14ac:dyDescent="0.25">
      <c r="A2" t="s">
        <v>13</v>
      </c>
      <c r="B2">
        <v>2010</v>
      </c>
      <c r="C2">
        <v>1</v>
      </c>
      <c r="D2">
        <v>1</v>
      </c>
      <c r="E2">
        <v>543</v>
      </c>
      <c r="F2">
        <v>221</v>
      </c>
      <c r="G2">
        <v>105.2</v>
      </c>
      <c r="H2">
        <v>2</v>
      </c>
      <c r="I2">
        <v>561</v>
      </c>
      <c r="J2">
        <v>320</v>
      </c>
      <c r="K2">
        <v>150</v>
      </c>
      <c r="Q2">
        <v>1</v>
      </c>
      <c r="R2" t="s">
        <v>14</v>
      </c>
    </row>
    <row r="3" spans="1:18" x14ac:dyDescent="0.25">
      <c r="A3" t="s">
        <v>15</v>
      </c>
      <c r="B3">
        <v>2017</v>
      </c>
      <c r="C3">
        <v>2</v>
      </c>
      <c r="D3">
        <v>2</v>
      </c>
      <c r="E3">
        <v>42</v>
      </c>
      <c r="F3">
        <v>24</v>
      </c>
      <c r="G3">
        <v>210.5</v>
      </c>
      <c r="H3">
        <v>3</v>
      </c>
      <c r="I3">
        <v>47</v>
      </c>
      <c r="J3">
        <v>29</v>
      </c>
      <c r="K3">
        <v>189.5</v>
      </c>
      <c r="L3">
        <v>4</v>
      </c>
      <c r="M3">
        <v>39</v>
      </c>
      <c r="N3">
        <v>19</v>
      </c>
      <c r="O3">
        <v>126.8</v>
      </c>
      <c r="Q3">
        <v>2</v>
      </c>
      <c r="R3" t="s">
        <v>16</v>
      </c>
    </row>
    <row r="4" spans="1:18" x14ac:dyDescent="0.25">
      <c r="Q4">
        <v>3</v>
      </c>
      <c r="R4" t="s">
        <v>17</v>
      </c>
    </row>
    <row r="5" spans="1:18" x14ac:dyDescent="0.25">
      <c r="Q5">
        <v>4</v>
      </c>
      <c r="R5" t="s">
        <v>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11" ma:contentTypeDescription="Create a new document." ma:contentTypeScope="" ma:versionID="bfaae6e79d55897c86c604b0523efcbe">
  <xsd:schema xmlns:xsd="http://www.w3.org/2001/XMLSchema" xmlns:xs="http://www.w3.org/2001/XMLSchema" xmlns:p="http://schemas.microsoft.com/office/2006/metadata/properties" xmlns:ns2="f19da863-d4ba-46dd-bff5-fadabd07554c" xmlns:ns3="7ba99668-2012-4fd6-8d32-8a1396d32732" targetNamespace="http://schemas.microsoft.com/office/2006/metadata/properties" ma:root="true" ma:fieldsID="7b012dfa31d9532f4bec0a99c840199a" ns2:_="" ns3:_="">
    <xsd:import namespace="f19da863-d4ba-46dd-bff5-fadabd07554c"/>
    <xsd:import namespace="7ba99668-2012-4fd6-8d32-8a1396d327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99668-2012-4fd6-8d32-8a1396d32732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a4f8932a-c2de-421a-8c39-721748caed31}" ma:internalName="TaxCatchAll" ma:showField="CatchAllData" ma:web="7ba99668-2012-4fd6-8d32-8a1396d327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19da863-d4ba-46dd-bff5-fadabd07554c">
      <Terms xmlns="http://schemas.microsoft.com/office/infopath/2007/PartnerControls"/>
    </lcf76f155ced4ddcb4097134ff3c332f>
    <TaxCatchAll xmlns="7ba99668-2012-4fd6-8d32-8a1396d32732" xsi:nil="true"/>
  </documentManagement>
</p:properties>
</file>

<file path=customXml/itemProps1.xml><?xml version="1.0" encoding="utf-8"?>
<ds:datastoreItem xmlns:ds="http://schemas.openxmlformats.org/officeDocument/2006/customXml" ds:itemID="{84C412C3-1C52-4A99-810F-4D3E54963739}"/>
</file>

<file path=customXml/itemProps2.xml><?xml version="1.0" encoding="utf-8"?>
<ds:datastoreItem xmlns:ds="http://schemas.openxmlformats.org/officeDocument/2006/customXml" ds:itemID="{3E654C96-4ABC-40E9-8BF3-93FB124FB1B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D556DEB-3B3A-44C0-8E0C-4A1550165D09}">
  <ds:schemaRefs>
    <ds:schemaRef ds:uri="http://schemas.microsoft.com/office/2006/metadata/properties"/>
    <ds:schemaRef ds:uri="http://schemas.microsoft.com/office/infopath/2007/PartnerControls"/>
    <ds:schemaRef ds:uri="f19da863-d4ba-46dd-bff5-fadabd07554c"/>
    <ds:schemaRef ds:uri="7ba99668-2012-4fd6-8d32-8a1396d327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Binary or survival</vt:lpstr>
      <vt:lpstr>Continuous</vt:lpstr>
      <vt:lpstr>Rate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Annabel Davies</dc:creator>
  <cp:keywords/>
  <dc:description/>
  <cp:lastModifiedBy>Monika Halicka</cp:lastModifiedBy>
  <cp:revision/>
  <dcterms:created xsi:type="dcterms:W3CDTF">2015-06-05T18:19:34Z</dcterms:created>
  <dcterms:modified xsi:type="dcterms:W3CDTF">2026-02-15T14:42:01Z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  <property fmtid="{D5CDD505-2E9C-101B-9397-08002B2CF9AE}" pid="3" name="MediaServiceImageTags">
    <vt:lpwstr/>
  </property>
</Properties>
</file>