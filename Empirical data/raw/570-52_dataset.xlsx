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First Sample/Data/"/>
    </mc:Choice>
  </mc:AlternateContent>
  <xr:revisionPtr revIDLastSave="6" documentId="8_{505BFA21-1924-431A-8B22-D5AC28952E59}" xr6:coauthVersionLast="47" xr6:coauthVersionMax="47" xr10:uidLastSave="{F0EBBE4B-F497-4F76-944D-187069F857B0}"/>
  <bookViews>
    <workbookView xWindow="-120" yWindow="-120" windowWidth="29040" windowHeight="15720" xr2:uid="{B103136A-B7B3-4106-B4B2-F1F617F920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8" i="1"/>
  <c r="B16" i="1"/>
  <c r="B14" i="1"/>
  <c r="B12" i="1"/>
  <c r="B10" i="1"/>
  <c r="B8" i="1"/>
  <c r="B6" i="1"/>
  <c r="B4" i="1"/>
  <c r="B2" i="1"/>
</calcChain>
</file>

<file path=xl/sharedStrings.xml><?xml version="1.0" encoding="utf-8"?>
<sst xmlns="http://schemas.openxmlformats.org/spreadsheetml/2006/main" count="25" uniqueCount="25">
  <si>
    <t>StudyName</t>
  </si>
  <si>
    <t>StudyID</t>
  </si>
  <si>
    <t>t</t>
  </si>
  <si>
    <t>n</t>
  </si>
  <si>
    <t>r</t>
  </si>
  <si>
    <t>treatments</t>
  </si>
  <si>
    <t>Bonaca2014</t>
  </si>
  <si>
    <t>A + R2.5</t>
  </si>
  <si>
    <t>Connolly2018</t>
  </si>
  <si>
    <t>A</t>
  </si>
  <si>
    <t>Collet2014</t>
  </si>
  <si>
    <t>Helft2016</t>
  </si>
  <si>
    <t>Koo2021</t>
  </si>
  <si>
    <t>C</t>
  </si>
  <si>
    <t>Lee2014</t>
  </si>
  <si>
    <t>Mauri2014</t>
  </si>
  <si>
    <t>A+C</t>
  </si>
  <si>
    <t>A+C+C</t>
  </si>
  <si>
    <t>A+C+P</t>
  </si>
  <si>
    <t>AT60</t>
  </si>
  <si>
    <t>AT90</t>
  </si>
  <si>
    <t>R5</t>
  </si>
  <si>
    <t>Park2023</t>
  </si>
  <si>
    <t>Park2019</t>
  </si>
  <si>
    <t>Steg2019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</si>
</sst>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232323"/>
      <name val="Arial"/>
      <family val="2"/>
    </font>
    <font>
      <sz val="11"/>
      <color rgb="FF232323"/>
      <name val="Aptos Narrow"/>
      <family val="2"/>
      <scheme val="minor"/>
    </font>
    <font>
      <sz val="11"/>
      <color rgb="FF232323"/>
      <name val="Arial"/>
      <family val="2"/>
    </font>
    <font>
      <sz val="11"/>
      <color rgb="FF232323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973CE-683C-4A7F-9D48-8EB75B40D040}">
  <dimension ref="A1:I21"/>
  <sheetViews>
    <sheetView tabSelected="1" workbookViewId="0">
      <selection activeCell="G1" sqref="G1"/>
    </sheetView>
  </sheetViews>
  <sheetFormatPr defaultRowHeight="15" x14ac:dyDescent="0.25"/>
  <sheetData>
    <row r="1" spans="1:9" x14ac:dyDescent="0.25">
      <c r="A1" s="6" t="s">
        <v>0</v>
      </c>
      <c r="B1" s="6"/>
      <c r="C1" s="1" t="s">
        <v>1</v>
      </c>
      <c r="D1" s="1" t="s">
        <v>2</v>
      </c>
      <c r="E1" s="1" t="s">
        <v>3</v>
      </c>
      <c r="F1" s="1" t="s">
        <v>4</v>
      </c>
      <c r="H1" s="1" t="s">
        <v>5</v>
      </c>
    </row>
    <row r="2" spans="1:9" x14ac:dyDescent="0.25">
      <c r="A2" s="5" t="s">
        <v>6</v>
      </c>
      <c r="B2" s="5" t="str">
        <f>RIGHT(A2,4)</f>
        <v>2014</v>
      </c>
      <c r="C2">
        <v>1</v>
      </c>
      <c r="D2">
        <v>7</v>
      </c>
      <c r="E2">
        <v>7050</v>
      </c>
      <c r="F2">
        <v>493</v>
      </c>
      <c r="H2">
        <v>1</v>
      </c>
      <c r="I2" s="3" t="s">
        <v>9</v>
      </c>
    </row>
    <row r="3" spans="1:9" x14ac:dyDescent="0.25">
      <c r="A3" s="7"/>
      <c r="B3" s="7"/>
      <c r="C3">
        <v>1</v>
      </c>
      <c r="D3">
        <v>1</v>
      </c>
      <c r="E3">
        <v>7067</v>
      </c>
      <c r="F3">
        <v>578</v>
      </c>
      <c r="H3">
        <v>2</v>
      </c>
      <c r="I3" s="3" t="s">
        <v>16</v>
      </c>
    </row>
    <row r="4" spans="1:9" x14ac:dyDescent="0.25">
      <c r="A4" s="5" t="s">
        <v>10</v>
      </c>
      <c r="B4" s="5" t="str">
        <f>RIGHT(A4,4)</f>
        <v>2014</v>
      </c>
      <c r="C4">
        <v>2</v>
      </c>
      <c r="D4">
        <v>4</v>
      </c>
      <c r="E4">
        <v>635</v>
      </c>
      <c r="F4">
        <v>24</v>
      </c>
      <c r="H4">
        <v>3</v>
      </c>
      <c r="I4" s="4" t="s">
        <v>17</v>
      </c>
    </row>
    <row r="5" spans="1:9" x14ac:dyDescent="0.25">
      <c r="A5" s="7"/>
      <c r="B5" s="7"/>
      <c r="C5">
        <v>2</v>
      </c>
      <c r="D5">
        <v>1</v>
      </c>
      <c r="E5">
        <v>624</v>
      </c>
      <c r="F5">
        <v>27</v>
      </c>
      <c r="H5">
        <v>4</v>
      </c>
      <c r="I5" s="4" t="s">
        <v>18</v>
      </c>
    </row>
    <row r="6" spans="1:9" x14ac:dyDescent="0.25">
      <c r="A6" s="5" t="s">
        <v>8</v>
      </c>
      <c r="B6" s="5" t="str">
        <f>RIGHT(A6,4)</f>
        <v>2018</v>
      </c>
      <c r="C6">
        <v>3</v>
      </c>
      <c r="D6">
        <v>5</v>
      </c>
      <c r="E6">
        <v>8313</v>
      </c>
      <c r="F6">
        <v>347</v>
      </c>
      <c r="H6">
        <v>5</v>
      </c>
      <c r="I6" s="4" t="s">
        <v>7</v>
      </c>
    </row>
    <row r="7" spans="1:9" x14ac:dyDescent="0.25">
      <c r="A7" s="7"/>
      <c r="B7" s="7"/>
      <c r="C7">
        <v>3</v>
      </c>
      <c r="D7">
        <v>1</v>
      </c>
      <c r="E7">
        <v>8261</v>
      </c>
      <c r="F7">
        <v>460</v>
      </c>
      <c r="H7">
        <v>6</v>
      </c>
      <c r="I7" s="4" t="s">
        <v>19</v>
      </c>
    </row>
    <row r="8" spans="1:9" x14ac:dyDescent="0.25">
      <c r="A8" s="5" t="s">
        <v>11</v>
      </c>
      <c r="B8" s="5" t="str">
        <f>RIGHT(A8,4)</f>
        <v>2016</v>
      </c>
      <c r="C8">
        <v>4</v>
      </c>
      <c r="D8">
        <v>2</v>
      </c>
      <c r="E8">
        <v>695</v>
      </c>
      <c r="F8">
        <v>40</v>
      </c>
      <c r="H8">
        <v>7</v>
      </c>
      <c r="I8" s="4" t="s">
        <v>20</v>
      </c>
    </row>
    <row r="9" spans="1:9" x14ac:dyDescent="0.25">
      <c r="A9" s="7"/>
      <c r="B9" s="7"/>
      <c r="C9">
        <v>4</v>
      </c>
      <c r="D9">
        <v>1</v>
      </c>
      <c r="E9">
        <v>690</v>
      </c>
      <c r="F9">
        <v>52</v>
      </c>
      <c r="H9">
        <v>8</v>
      </c>
      <c r="I9" s="4" t="s">
        <v>13</v>
      </c>
    </row>
    <row r="10" spans="1:9" x14ac:dyDescent="0.25">
      <c r="A10" s="5" t="s">
        <v>12</v>
      </c>
      <c r="B10" s="5" t="str">
        <f>RIGHT(A10,4)</f>
        <v>2021</v>
      </c>
      <c r="C10">
        <v>5</v>
      </c>
      <c r="D10">
        <v>8</v>
      </c>
      <c r="E10">
        <v>2710</v>
      </c>
      <c r="F10">
        <v>152</v>
      </c>
      <c r="H10">
        <v>9</v>
      </c>
      <c r="I10" s="4" t="s">
        <v>21</v>
      </c>
    </row>
    <row r="11" spans="1:9" x14ac:dyDescent="0.25">
      <c r="C11">
        <v>5</v>
      </c>
      <c r="D11">
        <v>1</v>
      </c>
      <c r="E11">
        <v>2728</v>
      </c>
      <c r="F11">
        <v>207</v>
      </c>
    </row>
    <row r="12" spans="1:9" x14ac:dyDescent="0.25">
      <c r="A12" s="2" t="s">
        <v>14</v>
      </c>
      <c r="B12" s="5" t="str">
        <f>RIGHT(A12,4)</f>
        <v>2014</v>
      </c>
      <c r="C12">
        <v>6</v>
      </c>
      <c r="D12">
        <v>2</v>
      </c>
      <c r="E12">
        <v>2531</v>
      </c>
      <c r="F12">
        <v>61</v>
      </c>
    </row>
    <row r="13" spans="1:9" x14ac:dyDescent="0.25">
      <c r="C13">
        <v>6</v>
      </c>
      <c r="D13">
        <v>1</v>
      </c>
      <c r="E13">
        <v>2514</v>
      </c>
      <c r="F13">
        <v>57</v>
      </c>
    </row>
    <row r="14" spans="1:9" x14ac:dyDescent="0.25">
      <c r="A14" s="2" t="s">
        <v>15</v>
      </c>
      <c r="B14" s="5" t="str">
        <f>RIGHT(A14,4)</f>
        <v>2014</v>
      </c>
      <c r="C14">
        <v>7</v>
      </c>
      <c r="D14">
        <v>4</v>
      </c>
      <c r="E14">
        <v>5020</v>
      </c>
      <c r="F14">
        <v>211</v>
      </c>
    </row>
    <row r="15" spans="1:9" x14ac:dyDescent="0.25">
      <c r="C15">
        <v>7</v>
      </c>
      <c r="D15">
        <v>1</v>
      </c>
      <c r="E15">
        <v>4941</v>
      </c>
      <c r="F15">
        <v>285</v>
      </c>
    </row>
    <row r="16" spans="1:9" x14ac:dyDescent="0.25">
      <c r="A16" t="s">
        <v>22</v>
      </c>
      <c r="B16" s="5" t="str">
        <f>RIGHT(A16,4)</f>
        <v>2023</v>
      </c>
      <c r="C16">
        <v>8</v>
      </c>
      <c r="D16">
        <v>2</v>
      </c>
      <c r="E16">
        <v>320</v>
      </c>
      <c r="F16">
        <v>28</v>
      </c>
    </row>
    <row r="17" spans="1:6" x14ac:dyDescent="0.25">
      <c r="C17">
        <v>8</v>
      </c>
      <c r="D17">
        <v>3</v>
      </c>
      <c r="E17">
        <v>317</v>
      </c>
      <c r="F17">
        <v>35</v>
      </c>
    </row>
    <row r="18" spans="1:6" x14ac:dyDescent="0.25">
      <c r="A18" t="s">
        <v>23</v>
      </c>
      <c r="B18" s="5" t="str">
        <f>RIGHT(A18,4)</f>
        <v>2019</v>
      </c>
      <c r="C18">
        <v>9</v>
      </c>
      <c r="D18">
        <v>2</v>
      </c>
      <c r="E18">
        <v>1357</v>
      </c>
      <c r="F18">
        <v>28</v>
      </c>
    </row>
    <row r="19" spans="1:6" x14ac:dyDescent="0.25">
      <c r="C19">
        <v>9</v>
      </c>
      <c r="D19">
        <v>1</v>
      </c>
      <c r="E19">
        <v>1344</v>
      </c>
      <c r="F19">
        <v>15</v>
      </c>
    </row>
    <row r="20" spans="1:6" x14ac:dyDescent="0.25">
      <c r="A20" t="s">
        <v>24</v>
      </c>
      <c r="B20" s="5" t="str">
        <f>RIGHT(A20,4)</f>
        <v>2019</v>
      </c>
      <c r="C20">
        <v>10</v>
      </c>
      <c r="D20">
        <v>7</v>
      </c>
      <c r="E20">
        <v>9616</v>
      </c>
      <c r="F20">
        <v>736</v>
      </c>
    </row>
    <row r="21" spans="1:6" x14ac:dyDescent="0.25">
      <c r="C21">
        <v>10</v>
      </c>
      <c r="D21">
        <v>1</v>
      </c>
      <c r="E21">
        <v>9061</v>
      </c>
      <c r="F21">
        <v>818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2E876D7C-0093-4BCD-987B-14FB7F414E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BE15D6-CC71-48B9-9394-093E5827AA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440149-78D7-4014-8671-5200CADF3A0A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Davies</dc:creator>
  <cp:lastModifiedBy>Monika Halicka</cp:lastModifiedBy>
  <dcterms:created xsi:type="dcterms:W3CDTF">2025-02-06T19:41:54Z</dcterms:created>
  <dcterms:modified xsi:type="dcterms:W3CDTF">2025-12-15T11:26:03Z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