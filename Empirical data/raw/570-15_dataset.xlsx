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395" documentId="8_{8AD82315-BBDF-4D4A-AA8F-B563ADE7522D}" xr6:coauthVersionLast="47" xr6:coauthVersionMax="47" xr10:uidLastSave="{97DAED84-F7BC-4D1A-9D0B-BF6F96E06AD1}"/>
  <bookViews>
    <workbookView xWindow="28680" yWindow="-6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2" i="1"/>
</calcChain>
</file>

<file path=xl/sharedStrings.xml><?xml version="1.0" encoding="utf-8"?>
<sst xmlns="http://schemas.openxmlformats.org/spreadsheetml/2006/main" count="77" uniqueCount="77">
  <si>
    <t>StudyName</t>
  </si>
  <si>
    <t>StudyID</t>
  </si>
  <si>
    <t>t</t>
  </si>
  <si>
    <t>n</t>
  </si>
  <si>
    <t>Treatments</t>
  </si>
  <si>
    <t>Tofacitinib (10 mg) + MTX</t>
  </si>
  <si>
    <t>Abatacept (10 mg/kg) + MTX</t>
  </si>
  <si>
    <t>Tocilizumab (8 mg/kg) + MTX</t>
  </si>
  <si>
    <t>Tofacitinib (10 mg)</t>
  </si>
  <si>
    <t>Golimumab (50 mg) + MTX</t>
  </si>
  <si>
    <t>Etanercept biosimilar LBEC0101 + MTX</t>
  </si>
  <si>
    <t>Etanercept biosimilar SB4 + MTX</t>
  </si>
  <si>
    <t>Etanercept (50 mg) + MTX</t>
  </si>
  <si>
    <t>Adalimumab biosimilar SB5 (40 mg) + MTX</t>
  </si>
  <si>
    <t>Baricitinib (4 mg) + MTX +/- csDMARDs</t>
  </si>
  <si>
    <t>Adalimumab (40 mg) + MTX</t>
  </si>
  <si>
    <t>Infliximab biosimilar CT-P13 + MTX</t>
  </si>
  <si>
    <t>Tocilizumab (8 mg/kg)</t>
  </si>
  <si>
    <t>Tofacitinib (5 mg) + MTX</t>
  </si>
  <si>
    <t>Etanercept biosimilar HD203 + MTX</t>
  </si>
  <si>
    <t>Etanercept (50 mg)</t>
  </si>
  <si>
    <t>Infliximab biosimilar PF-06438179/GP1111 + MTX</t>
  </si>
  <si>
    <t>Baricitinib (2 mg) + MTX +/- csDMARDs</t>
  </si>
  <si>
    <t>Etanercept (25 mg) + MTX</t>
  </si>
  <si>
    <t>Golimumab (100 mg) + MTX</t>
  </si>
  <si>
    <t>Adalimumab biosimilar ABP-501 + MTX</t>
  </si>
  <si>
    <t>Tocilizumab (4 mg/kg) + MTX</t>
  </si>
  <si>
    <t>Baricitinib (4 mg)</t>
  </si>
  <si>
    <t>Tofacitinib (5 mg)</t>
  </si>
  <si>
    <t>Golimumab (100 mg)</t>
  </si>
  <si>
    <t>Infliximab (3 mg/kg) + MTX</t>
  </si>
  <si>
    <t>Infliximab biosimilar SB2 + MTX</t>
  </si>
  <si>
    <t>Certolizumab-pegol (400 mg) + MTX</t>
  </si>
  <si>
    <t>Abatacept (125 mg) + MTX</t>
  </si>
  <si>
    <t>Rituximab (1000 mg) + MTX</t>
  </si>
  <si>
    <t>Rituximab (500 mg) + MTX</t>
  </si>
  <si>
    <t>Placebo</t>
  </si>
  <si>
    <t>Rituximab biosimilar CT-P10 + MTX</t>
  </si>
  <si>
    <t>MTX</t>
  </si>
  <si>
    <t>Keystone2008</t>
  </si>
  <si>
    <t>Emery2009</t>
  </si>
  <si>
    <t>Emery2010</t>
  </si>
  <si>
    <t>Tak2010</t>
  </si>
  <si>
    <t>vanVollenhove2012</t>
  </si>
  <si>
    <t>Kremer2013</t>
  </si>
  <si>
    <t>Yoo2013</t>
  </si>
  <si>
    <t>Emery2014</t>
  </si>
  <si>
    <t>Lee2014</t>
  </si>
  <si>
    <t>Yamanaka2014</t>
  </si>
  <si>
    <t>Atsumi2015</t>
  </si>
  <si>
    <t>Burmester2015</t>
  </si>
  <si>
    <t>Choe2015</t>
  </si>
  <si>
    <t>Emery2015</t>
  </si>
  <si>
    <t>Keystone2015</t>
  </si>
  <si>
    <t>Tanaka2015</t>
  </si>
  <si>
    <t>Yamanaka2015</t>
  </si>
  <si>
    <t>Chatzidionysiou2016</t>
  </si>
  <si>
    <t>Dougados2016</t>
  </si>
  <si>
    <t>Genovese2016</t>
  </si>
  <si>
    <t>Kaneko2016</t>
  </si>
  <si>
    <t>Machado2016</t>
  </si>
  <si>
    <t>Atsumi2017</t>
  </si>
  <si>
    <t>Cohen2017</t>
  </si>
  <si>
    <t>Fleischmann2017</t>
  </si>
  <si>
    <t>Fleischmann2017a</t>
  </si>
  <si>
    <t>Matsuno2017</t>
  </si>
  <si>
    <t>Pavelka2017</t>
  </si>
  <si>
    <t>Taylor2017</t>
  </si>
  <si>
    <t>Brown2018</t>
  </si>
  <si>
    <t>Cohen2018</t>
  </si>
  <si>
    <t>Matsubara2018</t>
  </si>
  <si>
    <t>Stamm2018</t>
  </si>
  <si>
    <t>Zerbini2018</t>
  </si>
  <si>
    <t>Bi2019</t>
  </si>
  <si>
    <t>Suh2019</t>
  </si>
  <si>
    <t>VanDerHeijde2019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</si>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</sst>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selection activeCell="F94" sqref="F94"/>
    </sheetView>
  </sheetViews>
  <sheetFormatPr defaultRowHeight="15" x14ac:dyDescent="0.25"/>
  <cols>
    <col min="1" max="2" width="11.42578125" customWidth="1"/>
  </cols>
  <sheetData>
    <row r="1" spans="1:9" x14ac:dyDescent="0.25">
      <c r="A1" s="1" t="s">
        <v>0</v>
      </c>
      <c r="B1" s="1" t="s">
        <v>76</v>
      </c>
      <c r="C1" s="1" t="s">
        <v>1</v>
      </c>
      <c r="D1" s="1" t="s">
        <v>2</v>
      </c>
      <c r="E1" s="1" t="s">
        <v>3</v>
      </c>
      <c r="H1" s="1" t="s">
        <v>4</v>
      </c>
    </row>
    <row r="2" spans="1:9" x14ac:dyDescent="0.25">
      <c r="A2" t="s">
        <v>39</v>
      </c>
      <c r="B2" t="str">
        <f>RIGHT(A2,4)</f>
        <v>2008</v>
      </c>
      <c r="C2">
        <v>1</v>
      </c>
      <c r="D2">
        <v>34</v>
      </c>
      <c r="E2">
        <v>133</v>
      </c>
      <c r="H2">
        <v>1</v>
      </c>
      <c r="I2" t="s">
        <v>5</v>
      </c>
    </row>
    <row r="3" spans="1:9" x14ac:dyDescent="0.25">
      <c r="B3" t="str">
        <f t="shared" ref="B3:B66" si="0">RIGHT(A3,4)</f>
        <v/>
      </c>
      <c r="C3">
        <v>1</v>
      </c>
      <c r="D3">
        <v>5</v>
      </c>
      <c r="E3">
        <v>89</v>
      </c>
      <c r="H3">
        <v>2</v>
      </c>
      <c r="I3" t="s">
        <v>6</v>
      </c>
    </row>
    <row r="4" spans="1:9" x14ac:dyDescent="0.25">
      <c r="B4" t="str">
        <f t="shared" si="0"/>
        <v/>
      </c>
      <c r="C4">
        <v>1</v>
      </c>
      <c r="D4">
        <v>20</v>
      </c>
      <c r="E4">
        <v>89</v>
      </c>
      <c r="H4">
        <v>3</v>
      </c>
      <c r="I4" t="s">
        <v>7</v>
      </c>
    </row>
    <row r="5" spans="1:9" x14ac:dyDescent="0.25">
      <c r="B5" t="str">
        <f t="shared" si="0"/>
        <v/>
      </c>
      <c r="C5">
        <v>1</v>
      </c>
      <c r="D5">
        <v>25</v>
      </c>
      <c r="E5">
        <v>133</v>
      </c>
      <c r="H5">
        <v>4</v>
      </c>
      <c r="I5" t="s">
        <v>8</v>
      </c>
    </row>
    <row r="6" spans="1:9" x14ac:dyDescent="0.25">
      <c r="A6" t="s">
        <v>40</v>
      </c>
      <c r="B6" t="str">
        <f t="shared" si="0"/>
        <v>2009</v>
      </c>
      <c r="C6">
        <v>2</v>
      </c>
      <c r="D6">
        <v>34</v>
      </c>
      <c r="E6">
        <v>160</v>
      </c>
      <c r="H6">
        <v>5</v>
      </c>
      <c r="I6" t="s">
        <v>9</v>
      </c>
    </row>
    <row r="7" spans="1:9" x14ac:dyDescent="0.25">
      <c r="B7" t="str">
        <f t="shared" si="0"/>
        <v/>
      </c>
      <c r="C7">
        <v>2</v>
      </c>
      <c r="D7">
        <v>5</v>
      </c>
      <c r="E7">
        <v>159</v>
      </c>
      <c r="H7">
        <v>6</v>
      </c>
      <c r="I7" t="s">
        <v>10</v>
      </c>
    </row>
    <row r="8" spans="1:9" x14ac:dyDescent="0.25">
      <c r="B8" t="str">
        <f t="shared" si="0"/>
        <v/>
      </c>
      <c r="C8">
        <v>2</v>
      </c>
      <c r="D8">
        <v>20</v>
      </c>
      <c r="E8">
        <v>159</v>
      </c>
      <c r="H8">
        <v>7</v>
      </c>
      <c r="I8" t="s">
        <v>11</v>
      </c>
    </row>
    <row r="9" spans="1:9" x14ac:dyDescent="0.25">
      <c r="B9" t="str">
        <f t="shared" si="0"/>
        <v/>
      </c>
      <c r="C9">
        <v>2</v>
      </c>
      <c r="D9">
        <v>25</v>
      </c>
      <c r="E9">
        <v>159</v>
      </c>
      <c r="H9">
        <v>8</v>
      </c>
      <c r="I9" t="s">
        <v>12</v>
      </c>
    </row>
    <row r="10" spans="1:9" x14ac:dyDescent="0.25">
      <c r="A10" t="s">
        <v>41</v>
      </c>
      <c r="B10" t="str">
        <f t="shared" si="0"/>
        <v>2010</v>
      </c>
      <c r="C10">
        <v>3</v>
      </c>
      <c r="D10">
        <v>34</v>
      </c>
      <c r="E10">
        <v>172</v>
      </c>
      <c r="H10">
        <v>9</v>
      </c>
      <c r="I10" t="s">
        <v>13</v>
      </c>
    </row>
    <row r="11" spans="1:9" x14ac:dyDescent="0.25">
      <c r="B11" t="str">
        <f t="shared" si="0"/>
        <v/>
      </c>
      <c r="C11">
        <v>3</v>
      </c>
      <c r="D11">
        <v>31</v>
      </c>
      <c r="E11">
        <v>167</v>
      </c>
      <c r="H11">
        <v>10</v>
      </c>
      <c r="I11" t="s">
        <v>14</v>
      </c>
    </row>
    <row r="12" spans="1:9" x14ac:dyDescent="0.25">
      <c r="B12" t="str">
        <f t="shared" si="0"/>
        <v/>
      </c>
      <c r="C12">
        <v>3</v>
      </c>
      <c r="D12">
        <v>30</v>
      </c>
      <c r="E12">
        <v>170</v>
      </c>
      <c r="H12">
        <v>11</v>
      </c>
      <c r="I12" t="s">
        <v>15</v>
      </c>
    </row>
    <row r="13" spans="1:9" x14ac:dyDescent="0.25">
      <c r="A13" t="s">
        <v>42</v>
      </c>
      <c r="B13" t="str">
        <f t="shared" si="0"/>
        <v>2010</v>
      </c>
      <c r="C13">
        <v>4</v>
      </c>
      <c r="D13">
        <v>34</v>
      </c>
      <c r="E13">
        <v>249</v>
      </c>
      <c r="H13">
        <v>12</v>
      </c>
      <c r="I13" t="s">
        <v>16</v>
      </c>
    </row>
    <row r="14" spans="1:9" x14ac:dyDescent="0.25">
      <c r="B14" t="str">
        <f t="shared" si="0"/>
        <v/>
      </c>
      <c r="C14">
        <v>4</v>
      </c>
      <c r="D14">
        <v>31</v>
      </c>
      <c r="E14">
        <v>249</v>
      </c>
      <c r="H14">
        <v>13</v>
      </c>
      <c r="I14" t="s">
        <v>17</v>
      </c>
    </row>
    <row r="15" spans="1:9" x14ac:dyDescent="0.25">
      <c r="B15" t="str">
        <f t="shared" si="0"/>
        <v/>
      </c>
      <c r="C15">
        <v>4</v>
      </c>
      <c r="D15">
        <v>30</v>
      </c>
      <c r="E15">
        <v>250</v>
      </c>
      <c r="H15">
        <v>14</v>
      </c>
      <c r="I15" t="s">
        <v>18</v>
      </c>
    </row>
    <row r="16" spans="1:9" x14ac:dyDescent="0.25">
      <c r="A16" t="s">
        <v>43</v>
      </c>
      <c r="B16" t="str">
        <f t="shared" si="0"/>
        <v>2012</v>
      </c>
      <c r="C16">
        <v>5</v>
      </c>
      <c r="D16">
        <v>34</v>
      </c>
      <c r="E16">
        <v>108</v>
      </c>
      <c r="H16">
        <v>15</v>
      </c>
      <c r="I16" t="s">
        <v>19</v>
      </c>
    </row>
    <row r="17" spans="1:9" x14ac:dyDescent="0.25">
      <c r="B17" t="str">
        <f t="shared" si="0"/>
        <v/>
      </c>
      <c r="C17">
        <v>5</v>
      </c>
      <c r="D17">
        <v>11</v>
      </c>
      <c r="E17">
        <v>204</v>
      </c>
      <c r="H17">
        <v>16</v>
      </c>
      <c r="I17" t="s">
        <v>20</v>
      </c>
    </row>
    <row r="18" spans="1:9" x14ac:dyDescent="0.25">
      <c r="B18" t="str">
        <f t="shared" si="0"/>
        <v/>
      </c>
      <c r="C18">
        <v>5</v>
      </c>
      <c r="D18">
        <v>14</v>
      </c>
      <c r="E18">
        <v>204</v>
      </c>
      <c r="H18">
        <v>17</v>
      </c>
      <c r="I18" t="s">
        <v>21</v>
      </c>
    </row>
    <row r="19" spans="1:9" x14ac:dyDescent="0.25">
      <c r="B19" t="str">
        <f t="shared" si="0"/>
        <v/>
      </c>
      <c r="C19">
        <v>5</v>
      </c>
      <c r="D19">
        <v>1</v>
      </c>
      <c r="E19">
        <v>201</v>
      </c>
      <c r="H19">
        <v>18</v>
      </c>
      <c r="I19" t="s">
        <v>22</v>
      </c>
    </row>
    <row r="20" spans="1:9" x14ac:dyDescent="0.25">
      <c r="A20" t="s">
        <v>44</v>
      </c>
      <c r="B20" t="str">
        <f t="shared" si="0"/>
        <v>2013</v>
      </c>
      <c r="C20">
        <v>6</v>
      </c>
      <c r="D20">
        <v>14</v>
      </c>
      <c r="E20">
        <v>315</v>
      </c>
      <c r="H20">
        <v>19</v>
      </c>
      <c r="I20" t="s">
        <v>23</v>
      </c>
    </row>
    <row r="21" spans="1:9" x14ac:dyDescent="0.25">
      <c r="B21" t="str">
        <f t="shared" si="0"/>
        <v/>
      </c>
      <c r="C21">
        <v>6</v>
      </c>
      <c r="D21">
        <v>1</v>
      </c>
      <c r="E21">
        <v>318</v>
      </c>
      <c r="H21">
        <v>20</v>
      </c>
      <c r="I21" t="s">
        <v>24</v>
      </c>
    </row>
    <row r="22" spans="1:9" x14ac:dyDescent="0.25">
      <c r="A22" t="s">
        <v>45</v>
      </c>
      <c r="B22" t="str">
        <f t="shared" si="0"/>
        <v>2013</v>
      </c>
      <c r="C22">
        <v>7</v>
      </c>
      <c r="D22">
        <v>26</v>
      </c>
      <c r="E22">
        <v>304</v>
      </c>
      <c r="H22">
        <v>21</v>
      </c>
      <c r="I22" t="s">
        <v>25</v>
      </c>
    </row>
    <row r="23" spans="1:9" x14ac:dyDescent="0.25">
      <c r="B23" t="str">
        <f t="shared" si="0"/>
        <v/>
      </c>
      <c r="C23">
        <v>7</v>
      </c>
      <c r="D23">
        <v>12</v>
      </c>
      <c r="E23">
        <v>302</v>
      </c>
      <c r="H23">
        <v>22</v>
      </c>
      <c r="I23" t="s">
        <v>26</v>
      </c>
    </row>
    <row r="24" spans="1:9" x14ac:dyDescent="0.25">
      <c r="A24" t="s">
        <v>46</v>
      </c>
      <c r="B24" t="str">
        <f t="shared" si="0"/>
        <v>2014</v>
      </c>
      <c r="C24">
        <v>8</v>
      </c>
      <c r="D24">
        <v>34</v>
      </c>
      <c r="E24">
        <v>65</v>
      </c>
      <c r="H24">
        <v>23</v>
      </c>
      <c r="I24" t="s">
        <v>27</v>
      </c>
    </row>
    <row r="25" spans="1:9" x14ac:dyDescent="0.25">
      <c r="B25" t="str">
        <f t="shared" si="0"/>
        <v/>
      </c>
      <c r="C25">
        <v>8</v>
      </c>
      <c r="D25">
        <v>32</v>
      </c>
      <c r="E25">
        <v>65</v>
      </c>
      <c r="H25">
        <v>24</v>
      </c>
      <c r="I25" t="s">
        <v>28</v>
      </c>
    </row>
    <row r="26" spans="1:9" x14ac:dyDescent="0.25">
      <c r="B26" t="str">
        <f t="shared" si="0"/>
        <v/>
      </c>
      <c r="C26">
        <v>8</v>
      </c>
      <c r="D26">
        <v>19</v>
      </c>
      <c r="E26">
        <v>63</v>
      </c>
      <c r="H26">
        <v>25</v>
      </c>
      <c r="I26" t="s">
        <v>29</v>
      </c>
    </row>
    <row r="27" spans="1:9" x14ac:dyDescent="0.25">
      <c r="A27" t="s">
        <v>47</v>
      </c>
      <c r="B27" t="str">
        <f t="shared" si="0"/>
        <v>2014</v>
      </c>
      <c r="C27">
        <v>9</v>
      </c>
      <c r="D27">
        <v>34</v>
      </c>
      <c r="E27">
        <v>182</v>
      </c>
      <c r="H27">
        <v>26</v>
      </c>
      <c r="I27" t="s">
        <v>30</v>
      </c>
    </row>
    <row r="28" spans="1:9" x14ac:dyDescent="0.25">
      <c r="B28" t="str">
        <f t="shared" si="0"/>
        <v/>
      </c>
      <c r="C28">
        <v>9</v>
      </c>
      <c r="D28">
        <v>24</v>
      </c>
      <c r="E28">
        <v>373</v>
      </c>
      <c r="H28">
        <v>27</v>
      </c>
      <c r="I28" t="s">
        <v>31</v>
      </c>
    </row>
    <row r="29" spans="1:9" x14ac:dyDescent="0.25">
      <c r="B29" t="str">
        <f t="shared" si="0"/>
        <v/>
      </c>
      <c r="C29">
        <v>9</v>
      </c>
      <c r="D29">
        <v>4</v>
      </c>
      <c r="E29">
        <v>397</v>
      </c>
      <c r="H29">
        <v>28</v>
      </c>
      <c r="I29" t="s">
        <v>32</v>
      </c>
    </row>
    <row r="30" spans="1:9" x14ac:dyDescent="0.25">
      <c r="A30" t="s">
        <v>48</v>
      </c>
      <c r="B30" t="str">
        <f t="shared" si="0"/>
        <v>2014</v>
      </c>
      <c r="C30">
        <v>10</v>
      </c>
      <c r="D30">
        <v>34</v>
      </c>
      <c r="E30">
        <v>163</v>
      </c>
      <c r="H30">
        <v>29</v>
      </c>
      <c r="I30" t="s">
        <v>33</v>
      </c>
    </row>
    <row r="31" spans="1:9" x14ac:dyDescent="0.25">
      <c r="B31" t="str">
        <f t="shared" si="0"/>
        <v/>
      </c>
      <c r="C31">
        <v>10</v>
      </c>
      <c r="D31">
        <v>11</v>
      </c>
      <c r="E31">
        <v>170</v>
      </c>
      <c r="H31">
        <v>30</v>
      </c>
      <c r="I31" t="s">
        <v>34</v>
      </c>
    </row>
    <row r="32" spans="1:9" x14ac:dyDescent="0.25">
      <c r="A32" t="s">
        <v>49</v>
      </c>
      <c r="B32" t="str">
        <f t="shared" si="0"/>
        <v>2015</v>
      </c>
      <c r="C32">
        <v>11</v>
      </c>
      <c r="D32">
        <v>34</v>
      </c>
      <c r="E32">
        <v>157</v>
      </c>
      <c r="H32">
        <v>31</v>
      </c>
      <c r="I32" t="s">
        <v>35</v>
      </c>
    </row>
    <row r="33" spans="1:9" x14ac:dyDescent="0.25">
      <c r="B33" t="str">
        <f t="shared" si="0"/>
        <v/>
      </c>
      <c r="C33">
        <v>11</v>
      </c>
      <c r="D33">
        <v>28</v>
      </c>
      <c r="E33">
        <v>159</v>
      </c>
      <c r="H33">
        <v>32</v>
      </c>
      <c r="I33" t="s">
        <v>36</v>
      </c>
    </row>
    <row r="34" spans="1:9" x14ac:dyDescent="0.25">
      <c r="A34" t="s">
        <v>50</v>
      </c>
      <c r="B34" t="str">
        <f t="shared" si="0"/>
        <v>2015</v>
      </c>
      <c r="C34">
        <v>12</v>
      </c>
      <c r="D34">
        <v>34</v>
      </c>
      <c r="E34">
        <v>289</v>
      </c>
      <c r="H34">
        <v>33</v>
      </c>
      <c r="I34" t="s">
        <v>37</v>
      </c>
    </row>
    <row r="35" spans="1:9" x14ac:dyDescent="0.25">
      <c r="B35" t="str">
        <f t="shared" si="0"/>
        <v/>
      </c>
      <c r="C35">
        <v>12</v>
      </c>
      <c r="D35">
        <v>22</v>
      </c>
      <c r="E35">
        <v>290</v>
      </c>
      <c r="H35">
        <v>34</v>
      </c>
      <c r="I35" t="s">
        <v>38</v>
      </c>
    </row>
    <row r="36" spans="1:9" x14ac:dyDescent="0.25">
      <c r="B36" t="str">
        <f t="shared" si="0"/>
        <v/>
      </c>
      <c r="C36">
        <v>12</v>
      </c>
      <c r="D36">
        <v>13</v>
      </c>
      <c r="E36">
        <v>292</v>
      </c>
    </row>
    <row r="37" spans="1:9" x14ac:dyDescent="0.25">
      <c r="B37" t="str">
        <f t="shared" si="0"/>
        <v/>
      </c>
      <c r="C37">
        <v>12</v>
      </c>
      <c r="D37">
        <v>3</v>
      </c>
      <c r="E37">
        <v>291</v>
      </c>
    </row>
    <row r="38" spans="1:9" x14ac:dyDescent="0.25">
      <c r="A38" t="s">
        <v>51</v>
      </c>
      <c r="B38" t="str">
        <f t="shared" si="0"/>
        <v>2015</v>
      </c>
      <c r="C38">
        <v>13</v>
      </c>
      <c r="D38">
        <v>26</v>
      </c>
      <c r="E38">
        <v>293</v>
      </c>
    </row>
    <row r="39" spans="1:9" x14ac:dyDescent="0.25">
      <c r="B39" t="str">
        <f t="shared" si="0"/>
        <v/>
      </c>
      <c r="C39">
        <v>13</v>
      </c>
      <c r="D39">
        <v>27</v>
      </c>
      <c r="E39">
        <v>291</v>
      </c>
    </row>
    <row r="40" spans="1:9" x14ac:dyDescent="0.25">
      <c r="A40" t="s">
        <v>52</v>
      </c>
      <c r="B40" t="str">
        <f t="shared" si="0"/>
        <v>2015</v>
      </c>
      <c r="C40">
        <v>14</v>
      </c>
      <c r="D40">
        <v>8</v>
      </c>
      <c r="E40">
        <v>297</v>
      </c>
    </row>
    <row r="41" spans="1:9" x14ac:dyDescent="0.25">
      <c r="B41" t="str">
        <f t="shared" si="0"/>
        <v/>
      </c>
      <c r="C41">
        <v>14</v>
      </c>
      <c r="D41">
        <v>7</v>
      </c>
      <c r="E41">
        <v>299</v>
      </c>
    </row>
    <row r="42" spans="1:9" x14ac:dyDescent="0.25">
      <c r="A42" t="s">
        <v>53</v>
      </c>
      <c r="B42" t="str">
        <f t="shared" si="0"/>
        <v>2015</v>
      </c>
      <c r="C42">
        <v>15</v>
      </c>
      <c r="D42">
        <v>16</v>
      </c>
      <c r="E42">
        <v>98</v>
      </c>
    </row>
    <row r="43" spans="1:9" x14ac:dyDescent="0.25">
      <c r="B43" t="str">
        <f t="shared" si="0"/>
        <v/>
      </c>
      <c r="C43">
        <v>15</v>
      </c>
      <c r="D43">
        <v>8</v>
      </c>
      <c r="E43">
        <v>107</v>
      </c>
    </row>
    <row r="44" spans="1:9" x14ac:dyDescent="0.25">
      <c r="A44" t="s">
        <v>54</v>
      </c>
      <c r="B44" t="str">
        <f t="shared" si="0"/>
        <v>2015</v>
      </c>
      <c r="C44">
        <v>16</v>
      </c>
      <c r="D44">
        <v>34</v>
      </c>
      <c r="E44">
        <v>88</v>
      </c>
    </row>
    <row r="45" spans="1:9" x14ac:dyDescent="0.25">
      <c r="B45" t="str">
        <f t="shared" si="0"/>
        <v/>
      </c>
      <c r="C45">
        <v>16</v>
      </c>
      <c r="D45">
        <v>5</v>
      </c>
      <c r="E45">
        <v>86</v>
      </c>
    </row>
    <row r="46" spans="1:9" x14ac:dyDescent="0.25">
      <c r="B46" t="str">
        <f t="shared" si="0"/>
        <v/>
      </c>
      <c r="C46">
        <v>16</v>
      </c>
      <c r="D46">
        <v>20</v>
      </c>
      <c r="E46">
        <v>87</v>
      </c>
    </row>
    <row r="47" spans="1:9" x14ac:dyDescent="0.25">
      <c r="A47" t="s">
        <v>55</v>
      </c>
      <c r="B47" t="str">
        <f t="shared" si="0"/>
        <v>2015</v>
      </c>
      <c r="C47">
        <v>17</v>
      </c>
      <c r="D47">
        <v>34</v>
      </c>
      <c r="E47">
        <v>43</v>
      </c>
    </row>
    <row r="48" spans="1:9" x14ac:dyDescent="0.25">
      <c r="B48" t="str">
        <f t="shared" si="0"/>
        <v/>
      </c>
      <c r="C48">
        <v>17</v>
      </c>
      <c r="D48">
        <v>19</v>
      </c>
      <c r="E48">
        <v>179</v>
      </c>
    </row>
    <row r="49" spans="1:5" x14ac:dyDescent="0.25">
      <c r="A49" t="s">
        <v>56</v>
      </c>
      <c r="B49" t="str">
        <f t="shared" si="0"/>
        <v>2016</v>
      </c>
      <c r="C49">
        <v>18</v>
      </c>
      <c r="D49">
        <v>34</v>
      </c>
      <c r="E49">
        <v>16</v>
      </c>
    </row>
    <row r="50" spans="1:5" x14ac:dyDescent="0.25">
      <c r="B50" t="str">
        <f t="shared" si="0"/>
        <v/>
      </c>
      <c r="C50">
        <v>18</v>
      </c>
      <c r="D50">
        <v>11</v>
      </c>
      <c r="E50">
        <v>17</v>
      </c>
    </row>
    <row r="51" spans="1:5" x14ac:dyDescent="0.25">
      <c r="A51" t="s">
        <v>57</v>
      </c>
      <c r="B51" t="str">
        <f t="shared" si="0"/>
        <v>2016</v>
      </c>
      <c r="C51">
        <v>19</v>
      </c>
      <c r="D51">
        <v>34</v>
      </c>
      <c r="E51">
        <v>228</v>
      </c>
    </row>
    <row r="52" spans="1:5" x14ac:dyDescent="0.25">
      <c r="B52" t="str">
        <f t="shared" si="0"/>
        <v/>
      </c>
      <c r="C52">
        <v>19</v>
      </c>
      <c r="D52">
        <v>18</v>
      </c>
      <c r="E52">
        <v>229</v>
      </c>
    </row>
    <row r="53" spans="1:5" x14ac:dyDescent="0.25">
      <c r="B53" t="str">
        <f t="shared" si="0"/>
        <v/>
      </c>
      <c r="C53">
        <v>19</v>
      </c>
      <c r="D53">
        <v>10</v>
      </c>
      <c r="E53">
        <v>227</v>
      </c>
    </row>
    <row r="54" spans="1:5" x14ac:dyDescent="0.25">
      <c r="A54" t="s">
        <v>58</v>
      </c>
      <c r="B54" t="str">
        <f t="shared" si="0"/>
        <v>2016</v>
      </c>
      <c r="C54">
        <v>20</v>
      </c>
      <c r="D54">
        <v>34</v>
      </c>
      <c r="E54">
        <v>176</v>
      </c>
    </row>
    <row r="55" spans="1:5" x14ac:dyDescent="0.25">
      <c r="B55" t="str">
        <f t="shared" si="0"/>
        <v/>
      </c>
      <c r="C55">
        <v>20</v>
      </c>
      <c r="D55">
        <v>18</v>
      </c>
      <c r="E55">
        <v>174</v>
      </c>
    </row>
    <row r="56" spans="1:5" x14ac:dyDescent="0.25">
      <c r="B56" t="str">
        <f t="shared" si="0"/>
        <v/>
      </c>
      <c r="C56">
        <v>20</v>
      </c>
      <c r="D56">
        <v>10</v>
      </c>
      <c r="E56">
        <v>177</v>
      </c>
    </row>
    <row r="57" spans="1:5" x14ac:dyDescent="0.25">
      <c r="A57" t="s">
        <v>59</v>
      </c>
      <c r="B57" t="str">
        <f t="shared" si="0"/>
        <v>2016</v>
      </c>
      <c r="C57">
        <v>21</v>
      </c>
      <c r="D57">
        <v>13</v>
      </c>
      <c r="E57">
        <v>115</v>
      </c>
    </row>
    <row r="58" spans="1:5" x14ac:dyDescent="0.25">
      <c r="B58" t="str">
        <f t="shared" si="0"/>
        <v/>
      </c>
      <c r="C58">
        <v>21</v>
      </c>
      <c r="D58">
        <v>3</v>
      </c>
      <c r="E58">
        <v>118</v>
      </c>
    </row>
    <row r="59" spans="1:5" x14ac:dyDescent="0.25">
      <c r="A59" t="s">
        <v>60</v>
      </c>
      <c r="B59" t="str">
        <f t="shared" si="0"/>
        <v>2016</v>
      </c>
      <c r="C59">
        <v>22</v>
      </c>
      <c r="D59">
        <v>34</v>
      </c>
      <c r="E59">
        <v>126</v>
      </c>
    </row>
    <row r="60" spans="1:5" x14ac:dyDescent="0.25">
      <c r="B60" t="str">
        <f t="shared" si="0"/>
        <v/>
      </c>
      <c r="C60">
        <v>22</v>
      </c>
      <c r="D60">
        <v>8</v>
      </c>
      <c r="E60">
        <v>260</v>
      </c>
    </row>
    <row r="61" spans="1:5" x14ac:dyDescent="0.25">
      <c r="A61" t="s">
        <v>61</v>
      </c>
      <c r="B61" t="str">
        <f t="shared" si="0"/>
        <v>2017</v>
      </c>
      <c r="C61">
        <v>23</v>
      </c>
      <c r="D61">
        <v>34</v>
      </c>
      <c r="E61">
        <v>157</v>
      </c>
    </row>
    <row r="62" spans="1:5" x14ac:dyDescent="0.25">
      <c r="B62" t="str">
        <f t="shared" si="0"/>
        <v/>
      </c>
      <c r="C62">
        <v>23</v>
      </c>
      <c r="D62">
        <v>28</v>
      </c>
      <c r="E62">
        <v>159</v>
      </c>
    </row>
    <row r="63" spans="1:5" x14ac:dyDescent="0.25">
      <c r="A63" t="s">
        <v>62</v>
      </c>
      <c r="B63" t="str">
        <f t="shared" si="0"/>
        <v>2017</v>
      </c>
      <c r="C63">
        <v>24</v>
      </c>
      <c r="D63">
        <v>11</v>
      </c>
      <c r="E63">
        <v>262</v>
      </c>
    </row>
    <row r="64" spans="1:5" x14ac:dyDescent="0.25">
      <c r="B64" t="str">
        <f t="shared" si="0"/>
        <v/>
      </c>
      <c r="C64">
        <v>24</v>
      </c>
      <c r="D64">
        <v>21</v>
      </c>
      <c r="E64">
        <v>264</v>
      </c>
    </row>
    <row r="65" spans="1:5" x14ac:dyDescent="0.25">
      <c r="A65" t="s">
        <v>63</v>
      </c>
      <c r="B65" t="str">
        <f t="shared" si="0"/>
        <v>2017</v>
      </c>
      <c r="C65">
        <v>25</v>
      </c>
      <c r="D65">
        <v>34</v>
      </c>
      <c r="E65">
        <v>210</v>
      </c>
    </row>
    <row r="66" spans="1:5" x14ac:dyDescent="0.25">
      <c r="B66" t="str">
        <f t="shared" si="0"/>
        <v/>
      </c>
      <c r="C66">
        <v>25</v>
      </c>
      <c r="D66">
        <v>23</v>
      </c>
      <c r="E66">
        <v>159</v>
      </c>
    </row>
    <row r="67" spans="1:5" x14ac:dyDescent="0.25">
      <c r="B67" t="str">
        <f t="shared" ref="B67:B94" si="1">RIGHT(A67,4)</f>
        <v/>
      </c>
      <c r="C67">
        <v>25</v>
      </c>
      <c r="D67">
        <v>10</v>
      </c>
      <c r="E67">
        <v>215</v>
      </c>
    </row>
    <row r="68" spans="1:5" x14ac:dyDescent="0.25">
      <c r="A68" t="s">
        <v>64</v>
      </c>
      <c r="B68" t="str">
        <f t="shared" si="1"/>
        <v>017a</v>
      </c>
      <c r="C68">
        <v>26</v>
      </c>
      <c r="D68">
        <v>24</v>
      </c>
      <c r="E68">
        <v>386</v>
      </c>
    </row>
    <row r="69" spans="1:5" x14ac:dyDescent="0.25">
      <c r="B69" t="str">
        <f t="shared" si="1"/>
        <v/>
      </c>
      <c r="C69">
        <v>26</v>
      </c>
      <c r="D69">
        <v>11</v>
      </c>
      <c r="E69">
        <v>388</v>
      </c>
    </row>
    <row r="70" spans="1:5" x14ac:dyDescent="0.25">
      <c r="B70" t="str">
        <f t="shared" si="1"/>
        <v/>
      </c>
      <c r="C70">
        <v>26</v>
      </c>
      <c r="D70">
        <v>14</v>
      </c>
      <c r="E70">
        <v>378</v>
      </c>
    </row>
    <row r="71" spans="1:5" x14ac:dyDescent="0.25">
      <c r="A71" t="s">
        <v>65</v>
      </c>
      <c r="B71" t="str">
        <f t="shared" si="1"/>
        <v>2017</v>
      </c>
      <c r="C71">
        <v>27</v>
      </c>
      <c r="D71">
        <v>16</v>
      </c>
      <c r="E71">
        <v>187</v>
      </c>
    </row>
    <row r="72" spans="1:5" x14ac:dyDescent="0.25">
      <c r="B72" t="str">
        <f t="shared" si="1"/>
        <v/>
      </c>
      <c r="C72">
        <v>27</v>
      </c>
      <c r="D72">
        <v>6</v>
      </c>
      <c r="E72">
        <v>187</v>
      </c>
    </row>
    <row r="73" spans="1:5" x14ac:dyDescent="0.25">
      <c r="A73" t="s">
        <v>66</v>
      </c>
      <c r="B73" t="str">
        <f t="shared" si="1"/>
        <v>2017</v>
      </c>
      <c r="C73">
        <v>28</v>
      </c>
      <c r="D73">
        <v>34</v>
      </c>
      <c r="E73">
        <v>177</v>
      </c>
    </row>
    <row r="74" spans="1:5" x14ac:dyDescent="0.25">
      <c r="B74" t="str">
        <f t="shared" si="1"/>
        <v/>
      </c>
      <c r="C74">
        <v>28</v>
      </c>
      <c r="D74">
        <v>5</v>
      </c>
      <c r="E74">
        <v>169</v>
      </c>
    </row>
    <row r="75" spans="1:5" x14ac:dyDescent="0.25">
      <c r="A75" t="s">
        <v>67</v>
      </c>
      <c r="B75" t="str">
        <f t="shared" si="1"/>
        <v>2017</v>
      </c>
      <c r="C75">
        <v>29</v>
      </c>
      <c r="D75">
        <v>34</v>
      </c>
      <c r="E75">
        <v>488</v>
      </c>
    </row>
    <row r="76" spans="1:5" x14ac:dyDescent="0.25">
      <c r="B76" t="str">
        <f t="shared" si="1"/>
        <v/>
      </c>
      <c r="C76">
        <v>29</v>
      </c>
      <c r="D76">
        <v>10</v>
      </c>
      <c r="E76">
        <v>487</v>
      </c>
    </row>
    <row r="77" spans="1:5" x14ac:dyDescent="0.25">
      <c r="B77" t="str">
        <f t="shared" si="1"/>
        <v/>
      </c>
      <c r="C77">
        <v>29</v>
      </c>
      <c r="D77">
        <v>11</v>
      </c>
      <c r="E77">
        <v>330</v>
      </c>
    </row>
    <row r="78" spans="1:5" x14ac:dyDescent="0.25">
      <c r="A78" t="s">
        <v>68</v>
      </c>
      <c r="B78" t="str">
        <f t="shared" si="1"/>
        <v>2018</v>
      </c>
      <c r="C78">
        <v>30</v>
      </c>
      <c r="D78">
        <v>30</v>
      </c>
      <c r="E78">
        <v>40</v>
      </c>
    </row>
    <row r="79" spans="1:5" x14ac:dyDescent="0.25">
      <c r="B79" t="str">
        <f t="shared" si="1"/>
        <v/>
      </c>
      <c r="C79">
        <v>30</v>
      </c>
      <c r="D79">
        <v>29</v>
      </c>
      <c r="E79">
        <v>41</v>
      </c>
    </row>
    <row r="80" spans="1:5" x14ac:dyDescent="0.25">
      <c r="A80" t="s">
        <v>69</v>
      </c>
      <c r="B80" t="str">
        <f t="shared" si="1"/>
        <v>2018</v>
      </c>
      <c r="C80">
        <v>31</v>
      </c>
      <c r="D80">
        <v>26</v>
      </c>
      <c r="E80">
        <v>326</v>
      </c>
    </row>
    <row r="81" spans="1:5" x14ac:dyDescent="0.25">
      <c r="B81" t="str">
        <f t="shared" si="1"/>
        <v/>
      </c>
      <c r="C81">
        <v>31</v>
      </c>
      <c r="D81">
        <v>17</v>
      </c>
      <c r="E81">
        <v>234</v>
      </c>
    </row>
    <row r="82" spans="1:5" x14ac:dyDescent="0.25">
      <c r="A82" t="s">
        <v>70</v>
      </c>
      <c r="B82" t="str">
        <f t="shared" si="1"/>
        <v>2018</v>
      </c>
      <c r="C82">
        <v>32</v>
      </c>
      <c r="D82">
        <v>34</v>
      </c>
      <c r="E82">
        <v>202</v>
      </c>
    </row>
    <row r="83" spans="1:5" x14ac:dyDescent="0.25">
      <c r="B83" t="str">
        <f t="shared" si="1"/>
        <v/>
      </c>
      <c r="C83">
        <v>32</v>
      </c>
      <c r="D83">
        <v>2</v>
      </c>
      <c r="E83">
        <v>203</v>
      </c>
    </row>
    <row r="84" spans="1:5" x14ac:dyDescent="0.25">
      <c r="A84" t="s">
        <v>71</v>
      </c>
      <c r="B84" t="str">
        <f t="shared" si="1"/>
        <v>2018</v>
      </c>
      <c r="C84">
        <v>33</v>
      </c>
      <c r="D84">
        <v>34</v>
      </c>
      <c r="E84">
        <v>36</v>
      </c>
    </row>
    <row r="85" spans="1:5" x14ac:dyDescent="0.25">
      <c r="B85" t="str">
        <f t="shared" si="1"/>
        <v/>
      </c>
      <c r="C85">
        <v>33</v>
      </c>
      <c r="D85">
        <v>32</v>
      </c>
      <c r="E85">
        <v>16</v>
      </c>
    </row>
    <row r="86" spans="1:5" x14ac:dyDescent="0.25">
      <c r="B86" t="str">
        <f t="shared" si="1"/>
        <v/>
      </c>
      <c r="C86">
        <v>33</v>
      </c>
      <c r="D86">
        <v>26</v>
      </c>
      <c r="E86">
        <v>38</v>
      </c>
    </row>
    <row r="87" spans="1:5" x14ac:dyDescent="0.25">
      <c r="A87" t="s">
        <v>72</v>
      </c>
      <c r="B87" t="str">
        <f t="shared" si="1"/>
        <v>2018</v>
      </c>
      <c r="C87">
        <v>34</v>
      </c>
      <c r="D87">
        <v>34</v>
      </c>
      <c r="E87">
        <v>27</v>
      </c>
    </row>
    <row r="88" spans="1:5" x14ac:dyDescent="0.25">
      <c r="B88" t="str">
        <f t="shared" si="1"/>
        <v/>
      </c>
      <c r="C88">
        <v>34</v>
      </c>
      <c r="D88">
        <v>8</v>
      </c>
      <c r="E88">
        <v>24</v>
      </c>
    </row>
    <row r="89" spans="1:5" x14ac:dyDescent="0.25">
      <c r="A89" t="s">
        <v>73</v>
      </c>
      <c r="B89" t="str">
        <f t="shared" si="1"/>
        <v>2019</v>
      </c>
      <c r="C89">
        <v>35</v>
      </c>
      <c r="D89">
        <v>34</v>
      </c>
      <c r="E89">
        <v>114</v>
      </c>
    </row>
    <row r="90" spans="1:5" x14ac:dyDescent="0.25">
      <c r="B90" t="str">
        <f t="shared" si="1"/>
        <v/>
      </c>
      <c r="C90">
        <v>35</v>
      </c>
      <c r="D90">
        <v>28</v>
      </c>
      <c r="E90">
        <v>316</v>
      </c>
    </row>
    <row r="91" spans="1:5" x14ac:dyDescent="0.25">
      <c r="A91" t="s">
        <v>74</v>
      </c>
      <c r="B91" t="str">
        <f t="shared" si="1"/>
        <v>2019</v>
      </c>
      <c r="C91">
        <v>36</v>
      </c>
      <c r="D91">
        <v>30</v>
      </c>
      <c r="E91">
        <v>211</v>
      </c>
    </row>
    <row r="92" spans="1:5" x14ac:dyDescent="0.25">
      <c r="B92" t="str">
        <f t="shared" si="1"/>
        <v/>
      </c>
      <c r="C92">
        <v>36</v>
      </c>
      <c r="D92">
        <v>33</v>
      </c>
      <c r="E92">
        <v>161</v>
      </c>
    </row>
    <row r="93" spans="1:5" x14ac:dyDescent="0.25">
      <c r="A93" t="s">
        <v>75</v>
      </c>
      <c r="B93" t="str">
        <f t="shared" si="1"/>
        <v>2019</v>
      </c>
      <c r="C93">
        <v>37</v>
      </c>
      <c r="D93">
        <v>14</v>
      </c>
      <c r="E93">
        <v>321</v>
      </c>
    </row>
    <row r="94" spans="1:5" x14ac:dyDescent="0.25">
      <c r="B94" t="str">
        <f t="shared" si="1"/>
        <v/>
      </c>
      <c r="C94">
        <v>37</v>
      </c>
      <c r="D94">
        <v>1</v>
      </c>
      <c r="E94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2024-12-04T17:38:36Z</dcterms:modified>
</cp:coreProperties>
</file>