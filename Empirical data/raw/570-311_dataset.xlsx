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7A91868B-A51E-724E-AC4C-4979A1995A5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xtracted" sheetId="1" r:id="rId1"/>
    <sheet name="raw_sub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AE3" i="1"/>
  <c r="AF3" i="1"/>
  <c r="AE4" i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F11" i="1"/>
  <c r="AE12" i="1"/>
  <c r="AF12" i="1"/>
  <c r="AE13" i="1"/>
  <c r="AF13" i="1"/>
  <c r="AE14" i="1"/>
  <c r="AF14" i="1"/>
  <c r="AE15" i="1"/>
  <c r="AF15" i="1"/>
  <c r="AE16" i="1"/>
  <c r="AF16" i="1"/>
  <c r="AE17" i="1"/>
  <c r="AF17" i="1"/>
  <c r="AF18" i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9" i="1"/>
</calcChain>
</file>

<file path=xl/sharedStrings.xml><?xml version="1.0" encoding="utf-8"?>
<sst xmlns="http://schemas.openxmlformats.org/spreadsheetml/2006/main" count="367" uniqueCount="162">
  <si>
    <t>Authors</t>
  </si>
  <si>
    <t>Year</t>
  </si>
  <si>
    <t>t1</t>
  </si>
  <si>
    <t>t2</t>
  </si>
  <si>
    <t>t3</t>
  </si>
  <si>
    <t>t4</t>
  </si>
  <si>
    <t>t5</t>
  </si>
  <si>
    <t>t6</t>
  </si>
  <si>
    <t>t7</t>
  </si>
  <si>
    <t>t8</t>
  </si>
  <si>
    <t>n1</t>
  </si>
  <si>
    <t>n2</t>
  </si>
  <si>
    <t>n3</t>
  </si>
  <si>
    <t>n4</t>
  </si>
  <si>
    <t>n5</t>
  </si>
  <si>
    <t>n6</t>
  </si>
  <si>
    <t>n7</t>
  </si>
  <si>
    <t>n8</t>
  </si>
  <si>
    <t>Deliveliotis et al.</t>
  </si>
  <si>
    <t>Placebo</t>
  </si>
  <si>
    <t>Wang et al.</t>
  </si>
  <si>
    <t>Beddingfield et al.</t>
  </si>
  <si>
    <t>Park et al.</t>
  </si>
  <si>
    <t>Lee et al.</t>
  </si>
  <si>
    <t>Singh et al.</t>
  </si>
  <si>
    <t>Dellis et al.</t>
  </si>
  <si>
    <t>Park J et al.</t>
  </si>
  <si>
    <t>El-Nahas et al.</t>
  </si>
  <si>
    <t>Aggarwal et al.</t>
  </si>
  <si>
    <t>Abdelaal et al.</t>
  </si>
  <si>
    <t>Maldonado et al.</t>
  </si>
  <si>
    <t>Abdelhamide et al.</t>
  </si>
  <si>
    <t>Ragab et al.</t>
  </si>
  <si>
    <t>Jin Oh et al.</t>
  </si>
  <si>
    <t>Bhattar et al.</t>
  </si>
  <si>
    <t>Tharwat et al.</t>
  </si>
  <si>
    <t>Tae et al.</t>
  </si>
  <si>
    <t>Farshi Haghro et al.</t>
  </si>
  <si>
    <t>Yavuz et al.</t>
  </si>
  <si>
    <t>Jaworski et al.</t>
  </si>
  <si>
    <t>Zhang et al.</t>
  </si>
  <si>
    <t>Abdelaziz et al.</t>
  </si>
  <si>
    <t>Chandna et al.</t>
  </si>
  <si>
    <t>Alpha-
Blocker
(AB)</t>
  </si>
  <si>
    <t>Anticholinergic
(AC)</t>
  </si>
  <si>
    <t>Beta-3-
Agonist
(B3A)</t>
  </si>
  <si>
    <t>Phosphodiesterase
Inhibitor (PDI)</t>
  </si>
  <si>
    <t>Pregabalin
(PEG)</t>
  </si>
  <si>
    <t>AB+AC</t>
  </si>
  <si>
    <t>AC+
PEG</t>
  </si>
  <si>
    <t>AB+
PDI</t>
  </si>
  <si>
    <t>AC+PDI</t>
  </si>
  <si>
    <t>AC+AC+PDI</t>
  </si>
  <si>
    <t>Medication
Dosage</t>
  </si>
  <si>
    <t>Deliveliotis et
al.</t>
  </si>
  <si>
    <t>2006</t>
  </si>
  <si>
    <t>50</t>
  </si>
  <si>
    <t>A1B: Alfuzosin
10mg</t>
  </si>
  <si>
    <t>2009</t>
  </si>
  <si>
    <t>65</t>
  </si>
  <si>
    <t>A1B:
Tamsulosin .4
mg</t>
  </si>
  <si>
    <t>Beddingfield
et al.</t>
  </si>
  <si>
    <t>29</t>
  </si>
  <si>
    <t>26</t>
  </si>
  <si>
    <t>12</t>
  </si>
  <si>
    <t>20</t>
  </si>
  <si>
    <t>A1B: Alfuzosin
10mg
AC: Tolteridine
5mg</t>
  </si>
  <si>
    <t>2013</t>
  </si>
  <si>
    <t>70</t>
  </si>
  <si>
    <t>AC:
Solifenacin
10mg daily</t>
  </si>
  <si>
    <t>2014</t>
  </si>
  <si>
    <t>30</t>
  </si>
  <si>
    <t>A1B:
Tamsulosin .4
mg daily for 4
weeks</t>
  </si>
  <si>
    <t>2015</t>
  </si>
  <si>
    <t>28</t>
  </si>
  <si>
    <t>A1B:
Tamsulosin
0.2mg daily x 2
weeks
AC:
Solifenacin
5mg daily x 2
weeks
Combined:
Both</t>
  </si>
  <si>
    <t>El-Nahas et
al.</t>
  </si>
  <si>
    <t>44</t>
  </si>
  <si>
    <t>43</t>
  </si>
  <si>
    <t>A1B:
Tamsulosin .4
mg daily
AC:
Solifenacin
5mg daily</t>
  </si>
  <si>
    <t>Aggarwal et
al.</t>
  </si>
  <si>
    <t>54</t>
  </si>
  <si>
    <t>53</t>
  </si>
  <si>
    <t>A1B:
Tamsulosin: .4
mg
PDI: Tadalafil
5mg</t>
  </si>
  <si>
    <t>2016</t>
  </si>
  <si>
    <t>56</t>
  </si>
  <si>
    <t>59</t>
  </si>
  <si>
    <t>58</t>
  </si>
  <si>
    <t>A1B:
Tamsulosin
OCAS 0.4 mg
daily
AC:
Solifenacing
5mg daily
Combined:
Both</t>
  </si>
  <si>
    <t>A1B:
Tamsulosin .4
mg daily
AC:
Solifenacin
5mg daily
Combined:
Both</t>
  </si>
  <si>
    <t>Maldonado et
al.</t>
  </si>
  <si>
    <t>17</t>
  </si>
  <si>
    <t>A1B:
Tamsulosin .4
mg
AC: Oxybutinin
10mg</t>
  </si>
  <si>
    <t>Abdelhamide
et al.</t>
  </si>
  <si>
    <t>2017</t>
  </si>
  <si>
    <t>122</t>
  </si>
  <si>
    <t>121</t>
  </si>
  <si>
    <t>124</t>
  </si>
  <si>
    <t>AC:
Solifenacin
5mg
Pregabalin:
75mg
Combined:
Both</t>
  </si>
  <si>
    <t>49</t>
  </si>
  <si>
    <t>AB: Naftopidil
75 mg daily</t>
  </si>
  <si>
    <t>2018</t>
  </si>
  <si>
    <t>42</t>
  </si>
  <si>
    <t>41</t>
  </si>
  <si>
    <t>40</t>
  </si>
  <si>
    <t>A1B: Silodosin
8mg
AC:
Solifenacin
10mg
PID: Tadalafil
5mg</t>
  </si>
  <si>
    <t>46</t>
  </si>
  <si>
    <t>48</t>
  </si>
  <si>
    <t>PDI: Sildenafil
citrate 50 mg
daily</t>
  </si>
  <si>
    <t>B3A:
Mirabegron
50mg</t>
  </si>
  <si>
    <t>Farshi Haghro
et al.</t>
  </si>
  <si>
    <t>2019</t>
  </si>
  <si>
    <t>37</t>
  </si>
  <si>
    <t>35</t>
  </si>
  <si>
    <t>PDI: Tadalafil
10mg</t>
  </si>
  <si>
    <t>Falahatkar et
al.</t>
  </si>
  <si>
    <t>2021</t>
  </si>
  <si>
    <t>64</t>
  </si>
  <si>
    <t>AC:
Solifenacin
5mg
PG: 75mg BID</t>
  </si>
  <si>
    <t>55</t>
  </si>
  <si>
    <t>AB:
Tamsulosin
0.4 mg
B3A:
Mirabegron 50
mg</t>
  </si>
  <si>
    <t>21</t>
  </si>
  <si>
    <t>19</t>
  </si>
  <si>
    <t>AC:
Oxybutynin 5
mg daily for 15
days
B3A:
Mirabegron 50
mg daily for 15
days</t>
  </si>
  <si>
    <t>2022</t>
  </si>
  <si>
    <t>0</t>
  </si>
  <si>
    <t>Mirabegron:
50mg
Tamsulosin
0.4mg</t>
  </si>
  <si>
    <t>Abdelaziz et
al.</t>
  </si>
  <si>
    <t>31</t>
  </si>
  <si>
    <t>32</t>
  </si>
  <si>
    <t>34</t>
  </si>
  <si>
    <t>AC:
Solifenacin 5
mg
B3A:
Mirabegron 50
mg daily
*Administration
of Mirabegron
or solifenacin
was started on
day 4th post-
stent insertion
to avoid
confusion with
other
suspected
causes</t>
  </si>
  <si>
    <t>Chandna et
al.</t>
  </si>
  <si>
    <t>B3A:
mirabegron 50
mg daily
AC: solifenacin
5mg daily
AB:
Tamsulosin
0.4 mg daily</t>
  </si>
  <si>
    <t>Alfuzosin10mg</t>
  </si>
  <si>
    <t/>
  </si>
  <si>
    <t>Solifenacin10mg</t>
  </si>
  <si>
    <t>Tamsulosin02mg</t>
  </si>
  <si>
    <t>Tamsulosin02mg+Solifenacin5mg</t>
  </si>
  <si>
    <t>Tadalafil5mg</t>
  </si>
  <si>
    <t>Tamsulosin04mg</t>
  </si>
  <si>
    <t>Solifenacing5mg</t>
  </si>
  <si>
    <t>Tamsulosin04mg+Solifenacing5mg</t>
  </si>
  <si>
    <t>Pregabalin75mg</t>
  </si>
  <si>
    <t>Naftopidil75mg</t>
  </si>
  <si>
    <t>Silodosin8mg+Solifenacin10mg</t>
  </si>
  <si>
    <t>Silodosin8mg+Tadalafil5mg</t>
  </si>
  <si>
    <t>Solifenacin10mg+Tadalafil5mg</t>
  </si>
  <si>
    <t>Mirabegron50mg</t>
  </si>
  <si>
    <t>Tadalafil10mg</t>
  </si>
  <si>
    <t>Oxybutynin5mg</t>
  </si>
  <si>
    <t>Mirabegron50mg+Tamsulosin04mg</t>
  </si>
  <si>
    <t>Solifenacin5mg+Pregabalin75mg</t>
  </si>
  <si>
    <t>Silodosin8mg</t>
    <phoneticPr fontId="2" type="noConversion"/>
  </si>
  <si>
    <t>Silodosin8mg+Solifenacin10mg+Tadalafil5mg</t>
    <phoneticPr fontId="2" type="noConversion"/>
  </si>
  <si>
    <t>Sildenafil50mg</t>
    <phoneticPr fontId="2" type="noConversion"/>
  </si>
  <si>
    <t>Tolteridine5mg</t>
    <phoneticPr fontId="2" type="noConversion"/>
  </si>
  <si>
    <t>Tamsulosin04mg+Oxybutinin5mg</t>
  </si>
  <si>
    <t>Falahatkar et al.</t>
    <phoneticPr fontId="2" type="noConversion"/>
  </si>
  <si>
    <t>treatments</t>
    <phoneticPr fontId="2" type="noConversion"/>
  </si>
  <si>
    <t>StudyName</t>
    <phoneticPr fontId="2" type="noConversion"/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</si>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</sst>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zoomScale="116" zoomScaleNormal="75" workbookViewId="0">
      <selection activeCell="A2" sqref="A2:A27"/>
    </sheetView>
  </sheetViews>
  <sheetFormatPr baseColWidth="10" defaultColWidth="8.83203125" defaultRowHeight="14"/>
  <cols>
    <col min="2" max="2" width="23.1640625" bestFit="1" customWidth="1"/>
    <col min="3" max="3" width="6" bestFit="1" customWidth="1"/>
    <col min="4" max="7" width="5" bestFit="1" customWidth="1"/>
    <col min="8" max="11" width="4" bestFit="1" customWidth="1"/>
    <col min="12" max="12" width="7" customWidth="1"/>
    <col min="13" max="13" width="5.83203125" customWidth="1"/>
    <col min="14" max="14" width="7.1640625" customWidth="1"/>
    <col min="15" max="15" width="12.33203125" customWidth="1"/>
    <col min="16" max="16" width="11" customWidth="1"/>
    <col min="17" max="17" width="8.5" customWidth="1"/>
    <col min="18" max="18" width="10" customWidth="1"/>
    <col min="19" max="19" width="9.83203125" customWidth="1"/>
    <col min="20" max="20" width="13.33203125" customWidth="1"/>
    <col min="22" max="22" width="43.5" customWidth="1"/>
  </cols>
  <sheetData>
    <row r="1" spans="1:32">
      <c r="A1" t="s">
        <v>161</v>
      </c>
      <c r="B1" s="1" t="s">
        <v>160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3"/>
      <c r="U1" s="4" t="s">
        <v>159</v>
      </c>
    </row>
    <row r="2" spans="1:32">
      <c r="A2">
        <v>1</v>
      </c>
      <c r="B2" t="s">
        <v>18</v>
      </c>
      <c r="C2">
        <v>2006</v>
      </c>
      <c r="D2">
        <v>50</v>
      </c>
      <c r="E2">
        <v>50</v>
      </c>
      <c r="L2">
        <v>6</v>
      </c>
      <c r="M2">
        <v>1</v>
      </c>
      <c r="N2" t="s">
        <v>135</v>
      </c>
      <c r="O2" t="s">
        <v>135</v>
      </c>
      <c r="P2" t="s">
        <v>135</v>
      </c>
      <c r="Q2" t="s">
        <v>135</v>
      </c>
      <c r="R2" t="s">
        <v>135</v>
      </c>
      <c r="S2" t="s">
        <v>135</v>
      </c>
      <c r="U2">
        <v>1</v>
      </c>
      <c r="V2" s="2" t="s">
        <v>134</v>
      </c>
      <c r="AE2" t="str">
        <f>IF(S2="","",_xlfn.XLOOKUP(S2,$V$2:$V$29,$U$2:$U$29))</f>
        <v/>
      </c>
    </row>
    <row r="3" spans="1:32">
      <c r="A3">
        <v>2</v>
      </c>
      <c r="B3" t="s">
        <v>20</v>
      </c>
      <c r="C3">
        <v>2009</v>
      </c>
      <c r="D3">
        <v>65</v>
      </c>
      <c r="E3">
        <v>65</v>
      </c>
      <c r="L3">
        <v>6</v>
      </c>
      <c r="M3">
        <v>21</v>
      </c>
      <c r="N3" t="s">
        <v>135</v>
      </c>
      <c r="O3" t="s">
        <v>135</v>
      </c>
      <c r="P3" t="s">
        <v>135</v>
      </c>
      <c r="Q3" t="s">
        <v>135</v>
      </c>
      <c r="R3" t="s">
        <v>135</v>
      </c>
      <c r="S3" t="s">
        <v>135</v>
      </c>
      <c r="U3">
        <v>2</v>
      </c>
      <c r="V3" s="2" t="s">
        <v>148</v>
      </c>
      <c r="W3" s="2"/>
      <c r="X3" s="2"/>
      <c r="Y3" s="2"/>
      <c r="AE3" t="str">
        <f>IF(S3="","",_xlfn.XLOOKUP(S3,$V$2:$V$29,$U$2:$U$29))</f>
        <v/>
      </c>
      <c r="AF3" t="str">
        <f>IF(T2="","",_xlfn.XLOOKUP(T2,$V$2:$V$29,$U$2:$U$29))</f>
        <v/>
      </c>
    </row>
    <row r="4" spans="1:32">
      <c r="A4">
        <v>3</v>
      </c>
      <c r="B4" t="s">
        <v>21</v>
      </c>
      <c r="C4">
        <v>2009</v>
      </c>
      <c r="D4">
        <v>29</v>
      </c>
      <c r="E4">
        <v>26</v>
      </c>
      <c r="L4">
        <v>6</v>
      </c>
      <c r="M4">
        <v>1</v>
      </c>
      <c r="N4" t="s">
        <v>135</v>
      </c>
      <c r="O4" t="s">
        <v>135</v>
      </c>
      <c r="P4" t="s">
        <v>135</v>
      </c>
      <c r="Q4" t="s">
        <v>135</v>
      </c>
      <c r="R4" t="s">
        <v>135</v>
      </c>
      <c r="S4" t="s">
        <v>135</v>
      </c>
      <c r="U4">
        <v>3</v>
      </c>
      <c r="V4" s="2" t="s">
        <v>151</v>
      </c>
      <c r="W4" s="2"/>
      <c r="X4" s="2"/>
      <c r="Y4" s="2"/>
      <c r="AE4" t="str">
        <f>IF(S4="","",_xlfn.XLOOKUP(S4,$V$2:$V$29,$U$2:$U$29))</f>
        <v/>
      </c>
      <c r="AF4" t="str">
        <f>IF(T3="","",_xlfn.XLOOKUP(T3,$V$2:$V$29,$U$2:$U$29))</f>
        <v/>
      </c>
    </row>
    <row r="5" spans="1:32">
      <c r="A5">
        <v>4</v>
      </c>
      <c r="B5" t="s">
        <v>22</v>
      </c>
      <c r="C5">
        <v>2009</v>
      </c>
      <c r="D5">
        <v>12</v>
      </c>
      <c r="E5">
        <v>20</v>
      </c>
      <c r="F5">
        <v>20</v>
      </c>
      <c r="L5">
        <v>6</v>
      </c>
      <c r="M5">
        <v>1</v>
      </c>
      <c r="N5">
        <v>24</v>
      </c>
      <c r="O5" t="s">
        <v>135</v>
      </c>
      <c r="P5" t="s">
        <v>135</v>
      </c>
      <c r="Q5" t="s">
        <v>135</v>
      </c>
      <c r="R5" t="s">
        <v>135</v>
      </c>
      <c r="S5" t="s">
        <v>135</v>
      </c>
      <c r="U5">
        <v>4</v>
      </c>
      <c r="V5" s="2" t="s">
        <v>144</v>
      </c>
      <c r="W5" s="2"/>
      <c r="X5" s="2"/>
      <c r="Y5" s="2"/>
      <c r="AE5" t="str">
        <f>IF(S5="","",_xlfn.XLOOKUP(S5,$V$2:$V$29,$U$2:$U$29))</f>
        <v/>
      </c>
      <c r="AF5" t="str">
        <f>IF(T4="","",_xlfn.XLOOKUP(T4,$V$2:$V$29,$U$2:$U$29))</f>
        <v/>
      </c>
    </row>
    <row r="6" spans="1:32">
      <c r="A6">
        <v>5</v>
      </c>
      <c r="B6" t="s">
        <v>23</v>
      </c>
      <c r="C6">
        <v>2013</v>
      </c>
      <c r="D6">
        <v>70</v>
      </c>
      <c r="E6">
        <v>70</v>
      </c>
      <c r="L6">
        <v>6</v>
      </c>
      <c r="M6">
        <v>12</v>
      </c>
      <c r="N6" t="s">
        <v>135</v>
      </c>
      <c r="O6" t="s">
        <v>135</v>
      </c>
      <c r="P6" t="s">
        <v>135</v>
      </c>
      <c r="Q6" t="s">
        <v>135</v>
      </c>
      <c r="R6" t="s">
        <v>135</v>
      </c>
      <c r="S6" t="s">
        <v>135</v>
      </c>
      <c r="U6">
        <v>5</v>
      </c>
      <c r="V6" s="2" t="s">
        <v>150</v>
      </c>
      <c r="W6" s="2"/>
      <c r="X6" s="2"/>
      <c r="Y6" s="2"/>
      <c r="AE6" t="str">
        <f>IF(S6="","",_xlfn.XLOOKUP(S6,$V$2:$V$29,$U$2:$U$29))</f>
        <v/>
      </c>
      <c r="AF6" t="str">
        <f>IF(T5="","",_xlfn.XLOOKUP(T5,$V$2:$V$29,$U$2:$U$29))</f>
        <v/>
      </c>
    </row>
    <row r="7" spans="1:32">
      <c r="A7">
        <v>6</v>
      </c>
      <c r="B7" t="s">
        <v>24</v>
      </c>
      <c r="C7">
        <v>2014</v>
      </c>
      <c r="D7">
        <v>30</v>
      </c>
      <c r="E7">
        <v>30</v>
      </c>
      <c r="L7">
        <v>6</v>
      </c>
      <c r="M7">
        <v>21</v>
      </c>
      <c r="N7" t="s">
        <v>135</v>
      </c>
      <c r="O7" t="s">
        <v>135</v>
      </c>
      <c r="P7" t="s">
        <v>135</v>
      </c>
      <c r="Q7" t="s">
        <v>135</v>
      </c>
      <c r="R7" t="s">
        <v>135</v>
      </c>
      <c r="S7" t="s">
        <v>135</v>
      </c>
      <c r="U7">
        <v>6</v>
      </c>
      <c r="V7" s="2" t="s">
        <v>19</v>
      </c>
      <c r="W7" s="2"/>
      <c r="X7" s="2"/>
      <c r="Y7" s="2"/>
      <c r="AE7" t="str">
        <f>IF(S7="","",_xlfn.XLOOKUP(S7,$V$2:$V$29,$U$2:$U$29))</f>
        <v/>
      </c>
      <c r="AF7" t="str">
        <f>IF(T6="","",_xlfn.XLOOKUP(T6,$V$2:$V$29,$U$2:$U$29))</f>
        <v/>
      </c>
    </row>
    <row r="8" spans="1:32">
      <c r="A8">
        <v>7</v>
      </c>
      <c r="B8" t="s">
        <v>25</v>
      </c>
      <c r="C8">
        <v>2014</v>
      </c>
      <c r="D8">
        <v>20</v>
      </c>
      <c r="E8">
        <v>20</v>
      </c>
      <c r="L8">
        <v>6</v>
      </c>
      <c r="M8">
        <v>21</v>
      </c>
      <c r="N8" t="s">
        <v>135</v>
      </c>
      <c r="O8" t="s">
        <v>135</v>
      </c>
      <c r="P8" t="s">
        <v>135</v>
      </c>
      <c r="Q8" t="s">
        <v>135</v>
      </c>
      <c r="R8" t="s">
        <v>135</v>
      </c>
      <c r="S8" t="s">
        <v>135</v>
      </c>
      <c r="U8">
        <v>7</v>
      </c>
      <c r="V8" s="2" t="s">
        <v>143</v>
      </c>
      <c r="W8" s="2"/>
      <c r="X8" s="2"/>
      <c r="Y8" s="2"/>
      <c r="AE8" t="str">
        <f>IF(S8="","",_xlfn.XLOOKUP(S8,$V$2:$V$29,$U$2:$U$29))</f>
        <v/>
      </c>
      <c r="AF8" t="str">
        <f>IF(T7="","",_xlfn.XLOOKUP(T7,$V$2:$V$29,$U$2:$U$29))</f>
        <v/>
      </c>
    </row>
    <row r="9" spans="1:32">
      <c r="A9">
        <v>8</v>
      </c>
      <c r="B9" t="s">
        <v>26</v>
      </c>
      <c r="C9">
        <v>2015</v>
      </c>
      <c r="D9">
        <v>28</v>
      </c>
      <c r="E9">
        <v>28</v>
      </c>
      <c r="F9">
        <v>28</v>
      </c>
      <c r="G9">
        <v>28</v>
      </c>
      <c r="L9">
        <v>6</v>
      </c>
      <c r="M9">
        <v>19</v>
      </c>
      <c r="N9">
        <v>15</v>
      </c>
      <c r="O9">
        <v>20</v>
      </c>
      <c r="P9" t="s">
        <v>135</v>
      </c>
      <c r="Q9" t="s">
        <v>135</v>
      </c>
      <c r="R9" t="s">
        <v>135</v>
      </c>
      <c r="S9" t="s">
        <v>135</v>
      </c>
      <c r="U9">
        <v>8</v>
      </c>
      <c r="V9" s="2" t="s">
        <v>155</v>
      </c>
      <c r="W9" s="2"/>
      <c r="X9" s="2"/>
      <c r="Y9" s="2"/>
      <c r="AE9" t="str">
        <f>IF(S9="","",_xlfn.XLOOKUP(S9,$V$2:$V$29,$U$2:$U$29))</f>
        <v/>
      </c>
      <c r="AF9" t="str">
        <f>IF(T8="","",_xlfn.XLOOKUP(T8,$V$2:$V$29,$U$2:$U$29))</f>
        <v/>
      </c>
    </row>
    <row r="10" spans="1:32">
      <c r="A10">
        <v>9</v>
      </c>
      <c r="B10" t="s">
        <v>27</v>
      </c>
      <c r="C10">
        <v>2015</v>
      </c>
      <c r="D10">
        <v>44</v>
      </c>
      <c r="E10">
        <v>44</v>
      </c>
      <c r="F10">
        <v>43</v>
      </c>
      <c r="L10">
        <v>6</v>
      </c>
      <c r="M10">
        <v>21</v>
      </c>
      <c r="N10">
        <v>15</v>
      </c>
      <c r="O10" t="s">
        <v>135</v>
      </c>
      <c r="P10" t="s">
        <v>135</v>
      </c>
      <c r="Q10" t="s">
        <v>135</v>
      </c>
      <c r="R10" t="s">
        <v>135</v>
      </c>
      <c r="S10" t="s">
        <v>135</v>
      </c>
      <c r="U10">
        <v>9</v>
      </c>
      <c r="V10" s="2" t="s">
        <v>153</v>
      </c>
      <c r="W10" s="2"/>
      <c r="X10" s="2"/>
      <c r="Y10" s="2"/>
      <c r="AE10" t="str">
        <f>IF(S10="","",_xlfn.XLOOKUP(S10,$V$2:$V$29,$U$2:$U$29))</f>
        <v/>
      </c>
      <c r="AF10" t="str">
        <f>IF(T9="","",_xlfn.XLOOKUP(T9,$V$2:$V$29,$U$2:$U$29))</f>
        <v/>
      </c>
    </row>
    <row r="11" spans="1:32">
      <c r="A11">
        <v>10</v>
      </c>
      <c r="B11" t="s">
        <v>28</v>
      </c>
      <c r="C11">
        <v>2015</v>
      </c>
      <c r="D11">
        <v>54</v>
      </c>
      <c r="E11">
        <v>53</v>
      </c>
      <c r="F11">
        <v>54</v>
      </c>
      <c r="L11">
        <v>6</v>
      </c>
      <c r="M11">
        <v>21</v>
      </c>
      <c r="N11">
        <v>18</v>
      </c>
      <c r="O11" t="s">
        <v>135</v>
      </c>
      <c r="P11" t="s">
        <v>135</v>
      </c>
      <c r="Q11" t="s">
        <v>135</v>
      </c>
      <c r="R11" t="s">
        <v>135</v>
      </c>
      <c r="S11" t="s">
        <v>135</v>
      </c>
      <c r="U11">
        <v>10</v>
      </c>
      <c r="V11" s="2" t="s">
        <v>145</v>
      </c>
      <c r="W11" s="2"/>
      <c r="X11" s="2"/>
      <c r="Y11" s="2"/>
      <c r="AF11" t="str">
        <f>IF(T10="","",_xlfn.XLOOKUP(T10,$V$2:$V$29,$U$2:$U$29))</f>
        <v/>
      </c>
    </row>
    <row r="12" spans="1:32">
      <c r="A12">
        <v>11</v>
      </c>
      <c r="B12" t="s">
        <v>29</v>
      </c>
      <c r="C12">
        <v>2016</v>
      </c>
      <c r="D12">
        <v>56</v>
      </c>
      <c r="E12">
        <v>59</v>
      </c>
      <c r="F12">
        <v>58</v>
      </c>
      <c r="G12">
        <v>58</v>
      </c>
      <c r="L12">
        <v>6</v>
      </c>
      <c r="M12">
        <v>21</v>
      </c>
      <c r="N12">
        <v>15</v>
      </c>
      <c r="O12">
        <v>22</v>
      </c>
      <c r="P12" t="s">
        <v>135</v>
      </c>
      <c r="Q12" t="s">
        <v>135</v>
      </c>
      <c r="R12" t="s">
        <v>135</v>
      </c>
      <c r="S12" t="s">
        <v>135</v>
      </c>
      <c r="U12">
        <v>11</v>
      </c>
      <c r="V12" s="2" t="s">
        <v>146</v>
      </c>
      <c r="W12" s="2"/>
      <c r="X12" s="2"/>
      <c r="Y12" s="2"/>
      <c r="AE12" t="str">
        <f>IF(S12="","",_xlfn.XLOOKUP(S12,$V$2:$V$29,$U$2:$U$29))</f>
        <v/>
      </c>
      <c r="AF12" t="str">
        <f>IF(T11="","",_xlfn.XLOOKUP(T11,$V$2:$V$29,$U$2:$U$29))</f>
        <v/>
      </c>
    </row>
    <row r="13" spans="1:32">
      <c r="A13">
        <v>12</v>
      </c>
      <c r="B13" t="s">
        <v>25</v>
      </c>
      <c r="C13">
        <v>2016</v>
      </c>
      <c r="L13">
        <v>6</v>
      </c>
      <c r="M13">
        <v>21</v>
      </c>
      <c r="N13">
        <v>15</v>
      </c>
      <c r="O13">
        <v>22</v>
      </c>
      <c r="P13" t="s">
        <v>135</v>
      </c>
      <c r="Q13" t="s">
        <v>135</v>
      </c>
      <c r="R13" t="s">
        <v>135</v>
      </c>
      <c r="S13" t="s">
        <v>135</v>
      </c>
      <c r="U13">
        <v>12</v>
      </c>
      <c r="V13" s="2" t="s">
        <v>136</v>
      </c>
      <c r="W13" s="2"/>
      <c r="X13" s="2"/>
      <c r="Y13" s="2"/>
      <c r="AE13" t="str">
        <f>IF(S13="","",_xlfn.XLOOKUP(S13,$V$2:$V$29,$U$2:$U$29))</f>
        <v/>
      </c>
      <c r="AF13" t="str">
        <f>IF(T12="","",_xlfn.XLOOKUP(T12,$V$2:$V$29,$U$2:$U$29))</f>
        <v/>
      </c>
    </row>
    <row r="14" spans="1:32">
      <c r="A14">
        <v>13</v>
      </c>
      <c r="B14" t="s">
        <v>30</v>
      </c>
      <c r="C14">
        <v>2016</v>
      </c>
      <c r="D14">
        <v>17</v>
      </c>
      <c r="E14">
        <v>17</v>
      </c>
      <c r="F14">
        <v>17</v>
      </c>
      <c r="L14">
        <v>21</v>
      </c>
      <c r="M14">
        <v>5</v>
      </c>
      <c r="N14">
        <v>23</v>
      </c>
      <c r="O14" t="s">
        <v>135</v>
      </c>
      <c r="P14" t="s">
        <v>135</v>
      </c>
      <c r="Q14" t="s">
        <v>135</v>
      </c>
      <c r="R14" t="s">
        <v>135</v>
      </c>
      <c r="S14" t="s">
        <v>135</v>
      </c>
      <c r="U14">
        <v>13</v>
      </c>
      <c r="V14" s="2" t="s">
        <v>154</v>
      </c>
      <c r="W14" s="2"/>
      <c r="X14" s="2"/>
      <c r="Y14" s="2"/>
      <c r="AE14" t="str">
        <f>IF(S14="","",_xlfn.XLOOKUP(S14,$V$2:$V$29,$U$2:$U$29))</f>
        <v/>
      </c>
      <c r="AF14" t="str">
        <f>IF(T13="","",_xlfn.XLOOKUP(T13,$V$2:$V$29,$U$2:$U$29))</f>
        <v/>
      </c>
    </row>
    <row r="15" spans="1:32">
      <c r="A15">
        <v>14</v>
      </c>
      <c r="B15" t="s">
        <v>31</v>
      </c>
      <c r="C15">
        <v>2017</v>
      </c>
      <c r="D15">
        <v>70</v>
      </c>
      <c r="E15">
        <v>70</v>
      </c>
      <c r="L15">
        <v>6</v>
      </c>
      <c r="M15">
        <v>12</v>
      </c>
      <c r="N15" t="s">
        <v>135</v>
      </c>
      <c r="O15" t="s">
        <v>135</v>
      </c>
      <c r="P15" t="s">
        <v>135</v>
      </c>
      <c r="Q15" t="s">
        <v>135</v>
      </c>
      <c r="R15" t="s">
        <v>135</v>
      </c>
      <c r="S15" t="s">
        <v>135</v>
      </c>
      <c r="U15">
        <v>14</v>
      </c>
      <c r="V15" s="2" t="s">
        <v>147</v>
      </c>
      <c r="W15" s="2"/>
      <c r="X15" s="2"/>
      <c r="Y15" s="2"/>
      <c r="AE15" t="str">
        <f>IF(S15="","",_xlfn.XLOOKUP(S15,$V$2:$V$29,$U$2:$U$29))</f>
        <v/>
      </c>
      <c r="AF15" t="str">
        <f>IF(T14="","",_xlfn.XLOOKUP(T14,$V$2:$V$29,$U$2:$U$29))</f>
        <v/>
      </c>
    </row>
    <row r="16" spans="1:32">
      <c r="A16">
        <v>15</v>
      </c>
      <c r="B16" t="s">
        <v>32</v>
      </c>
      <c r="C16">
        <v>2017</v>
      </c>
      <c r="D16">
        <v>122</v>
      </c>
      <c r="E16">
        <v>121</v>
      </c>
      <c r="F16">
        <v>124</v>
      </c>
      <c r="G16">
        <v>122</v>
      </c>
      <c r="L16">
        <v>6</v>
      </c>
      <c r="M16">
        <v>15</v>
      </c>
      <c r="N16">
        <v>7</v>
      </c>
      <c r="O16">
        <v>16</v>
      </c>
      <c r="P16" t="s">
        <v>135</v>
      </c>
      <c r="Q16" t="s">
        <v>135</v>
      </c>
      <c r="R16" t="s">
        <v>135</v>
      </c>
      <c r="S16" t="s">
        <v>135</v>
      </c>
      <c r="U16">
        <v>15</v>
      </c>
      <c r="V16" s="2" t="s">
        <v>141</v>
      </c>
      <c r="W16" s="2"/>
      <c r="X16" s="2"/>
      <c r="Y16" s="2"/>
      <c r="AE16" t="str">
        <f>IF(S16="","",_xlfn.XLOOKUP(S16,$V$2:$V$29,$U$2:$U$29))</f>
        <v/>
      </c>
      <c r="AF16" t="str">
        <f>IF(T15="","",_xlfn.XLOOKUP(T15,$V$2:$V$29,$U$2:$U$29))</f>
        <v/>
      </c>
    </row>
    <row r="17" spans="1:32">
      <c r="A17">
        <v>16</v>
      </c>
      <c r="B17" t="s">
        <v>33</v>
      </c>
      <c r="C17">
        <v>2017</v>
      </c>
      <c r="D17">
        <v>49</v>
      </c>
      <c r="E17">
        <v>43</v>
      </c>
      <c r="L17">
        <v>6</v>
      </c>
      <c r="M17">
        <v>4</v>
      </c>
      <c r="N17" t="s">
        <v>135</v>
      </c>
      <c r="O17" t="s">
        <v>135</v>
      </c>
      <c r="P17" t="s">
        <v>135</v>
      </c>
      <c r="Q17" t="s">
        <v>135</v>
      </c>
      <c r="R17" t="s">
        <v>135</v>
      </c>
      <c r="S17" t="s">
        <v>135</v>
      </c>
      <c r="U17">
        <v>16</v>
      </c>
      <c r="V17" s="2" t="s">
        <v>152</v>
      </c>
      <c r="W17" s="2"/>
      <c r="X17" s="2"/>
      <c r="Y17" s="2"/>
      <c r="AE17" t="str">
        <f>IF(S17="","",_xlfn.XLOOKUP(S17,$V$2:$V$29,$U$2:$U$29))</f>
        <v/>
      </c>
      <c r="AF17" t="str">
        <f>IF(T16="","",_xlfn.XLOOKUP(T16,$V$2:$V$29,$U$2:$U$29))</f>
        <v/>
      </c>
    </row>
    <row r="18" spans="1:32">
      <c r="A18">
        <v>17</v>
      </c>
      <c r="B18" t="s">
        <v>34</v>
      </c>
      <c r="C18">
        <v>2018</v>
      </c>
      <c r="D18">
        <v>42</v>
      </c>
      <c r="E18">
        <v>43</v>
      </c>
      <c r="F18">
        <v>43</v>
      </c>
      <c r="G18">
        <v>42</v>
      </c>
      <c r="H18">
        <v>42</v>
      </c>
      <c r="I18">
        <v>41</v>
      </c>
      <c r="J18">
        <v>42</v>
      </c>
      <c r="K18">
        <v>40</v>
      </c>
      <c r="L18">
        <v>6</v>
      </c>
      <c r="M18">
        <v>9</v>
      </c>
      <c r="N18">
        <v>12</v>
      </c>
      <c r="O18">
        <v>18</v>
      </c>
      <c r="P18">
        <v>10</v>
      </c>
      <c r="Q18">
        <v>11</v>
      </c>
      <c r="R18">
        <v>14</v>
      </c>
      <c r="S18">
        <v>13</v>
      </c>
      <c r="U18">
        <v>17</v>
      </c>
      <c r="V18" s="2" t="s">
        <v>149</v>
      </c>
      <c r="W18" s="2"/>
      <c r="X18" s="2"/>
      <c r="Y18" s="2"/>
      <c r="AF18" t="str">
        <f>IF(T17="","",_xlfn.XLOOKUP(T17,$V$2:$V$29,$U$2:$U$29))</f>
        <v/>
      </c>
    </row>
    <row r="19" spans="1:32">
      <c r="A19">
        <v>18</v>
      </c>
      <c r="B19" t="s">
        <v>35</v>
      </c>
      <c r="C19">
        <v>2018</v>
      </c>
      <c r="D19">
        <v>46</v>
      </c>
      <c r="E19">
        <v>48</v>
      </c>
      <c r="L19">
        <v>6</v>
      </c>
      <c r="M19">
        <v>8</v>
      </c>
      <c r="N19" t="s">
        <v>135</v>
      </c>
      <c r="O19" t="s">
        <v>135</v>
      </c>
      <c r="P19" t="s">
        <v>135</v>
      </c>
      <c r="Q19" t="s">
        <v>135</v>
      </c>
      <c r="R19" t="s">
        <v>135</v>
      </c>
      <c r="S19" t="s">
        <v>135</v>
      </c>
      <c r="U19">
        <v>18</v>
      </c>
      <c r="V19" s="2" t="s">
        <v>139</v>
      </c>
      <c r="W19" s="2"/>
      <c r="X19" s="2"/>
      <c r="Y19" s="2"/>
      <c r="AE19" t="str">
        <f>IF(S19="","",_xlfn.XLOOKUP(S19,$V$2:$V$29,$U$2:$U$29))</f>
        <v/>
      </c>
      <c r="AF19" t="str">
        <f>IF(T18="","",_xlfn.XLOOKUP(T18,$V$2:$V$29,$U$2:$U$29))</f>
        <v/>
      </c>
    </row>
    <row r="20" spans="1:32">
      <c r="A20">
        <v>19</v>
      </c>
      <c r="B20" t="s">
        <v>36</v>
      </c>
      <c r="C20">
        <v>2018</v>
      </c>
      <c r="D20">
        <v>48</v>
      </c>
      <c r="E20">
        <v>48</v>
      </c>
      <c r="L20">
        <v>6</v>
      </c>
      <c r="M20">
        <v>2</v>
      </c>
      <c r="N20" t="s">
        <v>135</v>
      </c>
      <c r="O20" t="s">
        <v>135</v>
      </c>
      <c r="P20" t="s">
        <v>135</v>
      </c>
      <c r="Q20" t="s">
        <v>135</v>
      </c>
      <c r="R20" t="s">
        <v>135</v>
      </c>
      <c r="S20" t="s">
        <v>135</v>
      </c>
      <c r="U20">
        <v>19</v>
      </c>
      <c r="V20" s="2" t="s">
        <v>137</v>
      </c>
      <c r="W20" s="2"/>
      <c r="X20" s="2"/>
      <c r="Y20" s="2"/>
      <c r="AE20" t="str">
        <f>IF(S20="","",_xlfn.XLOOKUP(S20,$V$2:$V$29,$U$2:$U$29))</f>
        <v/>
      </c>
      <c r="AF20" t="str">
        <f>IF(T19="","",_xlfn.XLOOKUP(T19,$V$2:$V$29,$U$2:$U$29))</f>
        <v/>
      </c>
    </row>
    <row r="21" spans="1:32">
      <c r="A21">
        <v>20</v>
      </c>
      <c r="B21" t="s">
        <v>37</v>
      </c>
      <c r="C21">
        <v>2019</v>
      </c>
      <c r="D21">
        <v>37</v>
      </c>
      <c r="E21">
        <v>35</v>
      </c>
      <c r="L21">
        <v>6</v>
      </c>
      <c r="M21">
        <v>17</v>
      </c>
      <c r="N21" t="s">
        <v>135</v>
      </c>
      <c r="O21" t="s">
        <v>135</v>
      </c>
      <c r="P21" t="s">
        <v>135</v>
      </c>
      <c r="Q21" t="s">
        <v>135</v>
      </c>
      <c r="R21" t="s">
        <v>135</v>
      </c>
      <c r="S21" t="s">
        <v>135</v>
      </c>
      <c r="U21">
        <v>20</v>
      </c>
      <c r="V21" s="2" t="s">
        <v>138</v>
      </c>
      <c r="W21" s="2"/>
      <c r="X21" s="2"/>
      <c r="Y21" s="2"/>
      <c r="AE21" t="str">
        <f>IF(S21="","",_xlfn.XLOOKUP(S21,$V$2:$V$29,$U$2:$U$29))</f>
        <v/>
      </c>
      <c r="AF21" t="str">
        <f>IF(T20="","",_xlfn.XLOOKUP(T20,$V$2:$V$29,$U$2:$U$29))</f>
        <v/>
      </c>
    </row>
    <row r="22" spans="1:32">
      <c r="A22">
        <v>21</v>
      </c>
      <c r="B22" t="s">
        <v>158</v>
      </c>
      <c r="C22">
        <v>2021</v>
      </c>
      <c r="D22">
        <v>64</v>
      </c>
      <c r="E22">
        <v>64</v>
      </c>
      <c r="F22">
        <v>64</v>
      </c>
      <c r="G22">
        <v>64</v>
      </c>
      <c r="L22">
        <v>6</v>
      </c>
      <c r="M22">
        <v>15</v>
      </c>
      <c r="N22">
        <v>7</v>
      </c>
      <c r="O22">
        <v>16</v>
      </c>
      <c r="P22" t="s">
        <v>135</v>
      </c>
      <c r="Q22" t="s">
        <v>135</v>
      </c>
      <c r="R22" t="s">
        <v>135</v>
      </c>
      <c r="S22" t="s">
        <v>135</v>
      </c>
      <c r="U22">
        <v>21</v>
      </c>
      <c r="V22" s="2" t="s">
        <v>140</v>
      </c>
      <c r="W22" s="2"/>
      <c r="X22" s="2"/>
      <c r="Y22" s="2"/>
      <c r="AE22" t="str">
        <f>IF(S22="","",_xlfn.XLOOKUP(S22,$V$2:$V$29,$U$2:$U$29))</f>
        <v/>
      </c>
      <c r="AF22" t="str">
        <f>IF(T21="","",_xlfn.XLOOKUP(T21,$V$2:$V$29,$U$2:$U$29))</f>
        <v/>
      </c>
    </row>
    <row r="23" spans="1:32">
      <c r="A23">
        <v>22</v>
      </c>
      <c r="B23" t="s">
        <v>38</v>
      </c>
      <c r="C23">
        <v>2021</v>
      </c>
      <c r="D23">
        <v>56</v>
      </c>
      <c r="E23">
        <v>55</v>
      </c>
      <c r="F23">
        <v>50</v>
      </c>
      <c r="L23">
        <v>6</v>
      </c>
      <c r="M23">
        <v>21</v>
      </c>
      <c r="N23">
        <v>2</v>
      </c>
      <c r="O23" t="s">
        <v>135</v>
      </c>
      <c r="P23" t="s">
        <v>135</v>
      </c>
      <c r="Q23" t="s">
        <v>135</v>
      </c>
      <c r="R23" t="s">
        <v>135</v>
      </c>
      <c r="S23" t="s">
        <v>135</v>
      </c>
      <c r="U23">
        <v>22</v>
      </c>
      <c r="V23" s="2" t="s">
        <v>142</v>
      </c>
      <c r="W23" s="2"/>
      <c r="X23" s="2"/>
      <c r="Y23" s="2"/>
      <c r="AE23" t="str">
        <f>IF(S23="","",_xlfn.XLOOKUP(S23,$V$2:$V$29,$U$2:$U$29))</f>
        <v/>
      </c>
      <c r="AF23" t="str">
        <f>IF(T22="","",_xlfn.XLOOKUP(T22,$V$2:$V$29,$U$2:$U$29))</f>
        <v/>
      </c>
    </row>
    <row r="24" spans="1:32">
      <c r="A24">
        <v>23</v>
      </c>
      <c r="B24" t="s">
        <v>39</v>
      </c>
      <c r="C24">
        <v>2021</v>
      </c>
      <c r="D24">
        <v>21</v>
      </c>
      <c r="E24">
        <v>19</v>
      </c>
      <c r="L24">
        <v>5</v>
      </c>
      <c r="M24">
        <v>2</v>
      </c>
      <c r="N24" t="s">
        <v>135</v>
      </c>
      <c r="O24" t="s">
        <v>135</v>
      </c>
      <c r="P24" t="s">
        <v>135</v>
      </c>
      <c r="Q24" t="s">
        <v>135</v>
      </c>
      <c r="R24" t="s">
        <v>135</v>
      </c>
      <c r="S24" t="s">
        <v>135</v>
      </c>
      <c r="U24">
        <v>23</v>
      </c>
      <c r="V24" s="2" t="s">
        <v>157</v>
      </c>
      <c r="W24" s="2"/>
      <c r="X24" s="2"/>
      <c r="Y24" s="2"/>
      <c r="AE24" t="str">
        <f>IF(S24="","",_xlfn.XLOOKUP(S24,$V$2:$V$29,$U$2:$U$29))</f>
        <v/>
      </c>
      <c r="AF24" t="str">
        <f>IF(T23="","",_xlfn.XLOOKUP(T23,$V$2:$V$29,$U$2:$U$29))</f>
        <v/>
      </c>
    </row>
    <row r="25" spans="1:32">
      <c r="A25">
        <v>24</v>
      </c>
      <c r="B25" t="s">
        <v>40</v>
      </c>
      <c r="C25">
        <v>2022</v>
      </c>
      <c r="D25">
        <v>40</v>
      </c>
      <c r="E25">
        <v>40</v>
      </c>
      <c r="L25">
        <v>2</v>
      </c>
      <c r="M25">
        <v>3</v>
      </c>
      <c r="N25" t="s">
        <v>135</v>
      </c>
      <c r="O25" t="s">
        <v>135</v>
      </c>
      <c r="P25" t="s">
        <v>135</v>
      </c>
      <c r="Q25" t="s">
        <v>135</v>
      </c>
      <c r="R25" t="s">
        <v>135</v>
      </c>
      <c r="S25" t="s">
        <v>135</v>
      </c>
      <c r="U25">
        <v>24</v>
      </c>
      <c r="V25" s="2" t="s">
        <v>156</v>
      </c>
      <c r="W25" s="2"/>
      <c r="X25" s="2"/>
      <c r="Y25" s="2"/>
      <c r="AE25" t="str">
        <f>IF(S25="","",_xlfn.XLOOKUP(S25,$V$2:$V$29,$U$2:$U$29))</f>
        <v/>
      </c>
      <c r="AF25" t="str">
        <f>IF(T24="","",_xlfn.XLOOKUP(T24,$V$2:$V$29,$U$2:$U$29))</f>
        <v/>
      </c>
    </row>
    <row r="26" spans="1:32">
      <c r="A26">
        <v>25</v>
      </c>
      <c r="B26" t="s">
        <v>41</v>
      </c>
      <c r="C26">
        <v>2022</v>
      </c>
      <c r="D26">
        <v>31</v>
      </c>
      <c r="E26">
        <v>32</v>
      </c>
      <c r="F26">
        <v>34</v>
      </c>
      <c r="L26">
        <v>6</v>
      </c>
      <c r="M26">
        <v>15</v>
      </c>
      <c r="N26">
        <v>2</v>
      </c>
      <c r="O26" t="s">
        <v>135</v>
      </c>
      <c r="P26" t="s">
        <v>135</v>
      </c>
      <c r="Q26" t="s">
        <v>135</v>
      </c>
      <c r="R26" t="s">
        <v>135</v>
      </c>
      <c r="S26" t="s">
        <v>135</v>
      </c>
      <c r="W26" s="2"/>
      <c r="X26" s="2"/>
      <c r="Y26" s="2"/>
      <c r="AE26" t="str">
        <f>IF(S26="","",_xlfn.XLOOKUP(S26,$V$2:$V$29,$U$2:$U$29))</f>
        <v/>
      </c>
      <c r="AF26" t="str">
        <f>IF(T25="","",_xlfn.XLOOKUP(T25,$V$2:$V$29,$U$2:$U$29))</f>
        <v/>
      </c>
    </row>
    <row r="27" spans="1:32">
      <c r="A27">
        <v>26</v>
      </c>
      <c r="B27" t="s">
        <v>42</v>
      </c>
      <c r="C27">
        <v>2022</v>
      </c>
      <c r="D27">
        <v>42</v>
      </c>
      <c r="E27">
        <v>40</v>
      </c>
      <c r="F27">
        <v>41</v>
      </c>
      <c r="L27">
        <v>21</v>
      </c>
      <c r="M27">
        <v>15</v>
      </c>
      <c r="N27">
        <v>2</v>
      </c>
      <c r="O27" t="s">
        <v>135</v>
      </c>
      <c r="P27" t="s">
        <v>135</v>
      </c>
      <c r="Q27" t="s">
        <v>135</v>
      </c>
      <c r="R27" t="s">
        <v>135</v>
      </c>
      <c r="S27" t="s">
        <v>135</v>
      </c>
      <c r="V27" s="2"/>
      <c r="W27" s="2"/>
      <c r="X27" s="2"/>
      <c r="Y27" s="2"/>
      <c r="AE27" t="str">
        <f>IF(S27="","",_xlfn.XLOOKUP(S27,$V$2:$V$29,$U$2:$U$29))</f>
        <v/>
      </c>
      <c r="AF27" t="str">
        <f>IF(T26="","",_xlfn.XLOOKUP(T26,$V$2:$V$29,$U$2:$U$29))</f>
        <v/>
      </c>
    </row>
    <row r="28" spans="1:32">
      <c r="V28" s="2"/>
      <c r="W28" s="2"/>
      <c r="X28" s="2"/>
      <c r="Y28" s="2"/>
    </row>
    <row r="29" spans="1:32">
      <c r="V29" s="2"/>
      <c r="W29" s="2"/>
      <c r="X29" s="2"/>
      <c r="Y29" s="2"/>
      <c r="AE29" t="str">
        <f>IF(S28="","",_xlfn.XLOOKUP(S28,$V$2:$V$29,$U$2:$U$29))</f>
        <v/>
      </c>
    </row>
    <row r="30" spans="1:32">
      <c r="V30" s="2"/>
      <c r="W30" s="2"/>
      <c r="X30" s="2"/>
      <c r="Y30" s="2"/>
    </row>
    <row r="31" spans="1:32">
      <c r="V31" s="2"/>
      <c r="W31" s="2"/>
      <c r="X31" s="2"/>
      <c r="Y31" s="2"/>
    </row>
    <row r="32" spans="1:32">
      <c r="V32" s="2"/>
      <c r="W32" s="2"/>
      <c r="X32" s="2"/>
      <c r="Y32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workbookViewId="0"/>
  </sheetViews>
  <sheetFormatPr baseColWidth="10" defaultColWidth="8.83203125" defaultRowHeight="14"/>
  <sheetData>
    <row r="1" spans="1:14">
      <c r="A1" s="1" t="s">
        <v>0</v>
      </c>
      <c r="B1" s="1" t="s">
        <v>1</v>
      </c>
      <c r="C1" s="1" t="s">
        <v>19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</row>
    <row r="2" spans="1:14">
      <c r="A2" t="s">
        <v>54</v>
      </c>
      <c r="B2" t="s">
        <v>55</v>
      </c>
      <c r="C2" t="s">
        <v>56</v>
      </c>
      <c r="D2" t="s">
        <v>56</v>
      </c>
      <c r="N2" t="s">
        <v>57</v>
      </c>
    </row>
    <row r="3" spans="1:14">
      <c r="A3" t="s">
        <v>20</v>
      </c>
      <c r="B3" t="s">
        <v>58</v>
      </c>
      <c r="C3" t="s">
        <v>59</v>
      </c>
      <c r="D3" t="s">
        <v>59</v>
      </c>
      <c r="N3" t="s">
        <v>60</v>
      </c>
    </row>
    <row r="4" spans="1:14">
      <c r="A4" t="s">
        <v>61</v>
      </c>
      <c r="B4" t="s">
        <v>58</v>
      </c>
      <c r="C4" t="s">
        <v>62</v>
      </c>
      <c r="D4" t="s">
        <v>63</v>
      </c>
      <c r="N4" t="s">
        <v>57</v>
      </c>
    </row>
    <row r="5" spans="1:14">
      <c r="A5" t="s">
        <v>22</v>
      </c>
      <c r="B5" t="s">
        <v>58</v>
      </c>
      <c r="C5" t="s">
        <v>64</v>
      </c>
      <c r="D5" t="s">
        <v>65</v>
      </c>
      <c r="E5" t="s">
        <v>65</v>
      </c>
      <c r="N5" t="s">
        <v>66</v>
      </c>
    </row>
    <row r="6" spans="1:14">
      <c r="A6" t="s">
        <v>23</v>
      </c>
      <c r="B6" t="s">
        <v>67</v>
      </c>
      <c r="C6" t="s">
        <v>68</v>
      </c>
      <c r="E6" t="s">
        <v>68</v>
      </c>
      <c r="N6" t="s">
        <v>69</v>
      </c>
    </row>
    <row r="7" spans="1:14">
      <c r="A7" t="s">
        <v>24</v>
      </c>
      <c r="B7" t="s">
        <v>70</v>
      </c>
      <c r="C7" t="s">
        <v>71</v>
      </c>
      <c r="D7" t="s">
        <v>71</v>
      </c>
      <c r="N7" t="s">
        <v>72</v>
      </c>
    </row>
    <row r="8" spans="1:14">
      <c r="A8" t="s">
        <v>25</v>
      </c>
      <c r="B8" t="s">
        <v>70</v>
      </c>
      <c r="C8" t="s">
        <v>65</v>
      </c>
      <c r="D8" t="s">
        <v>65</v>
      </c>
      <c r="N8" t="s">
        <v>72</v>
      </c>
    </row>
    <row r="9" spans="1:14">
      <c r="A9" t="s">
        <v>26</v>
      </c>
      <c r="B9" t="s">
        <v>73</v>
      </c>
      <c r="C9" t="s">
        <v>74</v>
      </c>
      <c r="D9" t="s">
        <v>74</v>
      </c>
      <c r="E9" t="s">
        <v>74</v>
      </c>
      <c r="I9" t="s">
        <v>74</v>
      </c>
      <c r="N9" t="s">
        <v>75</v>
      </c>
    </row>
    <row r="10" spans="1:14">
      <c r="A10" t="s">
        <v>76</v>
      </c>
      <c r="B10" t="s">
        <v>73</v>
      </c>
      <c r="C10" t="s">
        <v>77</v>
      </c>
      <c r="D10" t="s">
        <v>77</v>
      </c>
      <c r="E10" t="s">
        <v>78</v>
      </c>
      <c r="N10" t="s">
        <v>79</v>
      </c>
    </row>
    <row r="11" spans="1:14">
      <c r="A11" t="s">
        <v>80</v>
      </c>
      <c r="B11" t="s">
        <v>73</v>
      </c>
      <c r="C11" t="s">
        <v>81</v>
      </c>
      <c r="D11" t="s">
        <v>82</v>
      </c>
      <c r="G11" t="s">
        <v>81</v>
      </c>
      <c r="N11" t="s">
        <v>83</v>
      </c>
    </row>
    <row r="12" spans="1:14">
      <c r="A12" t="s">
        <v>29</v>
      </c>
      <c r="B12" t="s">
        <v>84</v>
      </c>
      <c r="C12" t="s">
        <v>85</v>
      </c>
      <c r="D12" t="s">
        <v>86</v>
      </c>
      <c r="E12" t="s">
        <v>87</v>
      </c>
      <c r="I12" t="s">
        <v>87</v>
      </c>
      <c r="N12" t="s">
        <v>88</v>
      </c>
    </row>
    <row r="13" spans="1:14">
      <c r="A13" t="s">
        <v>25</v>
      </c>
      <c r="B13" t="s">
        <v>84</v>
      </c>
      <c r="N13" t="s">
        <v>89</v>
      </c>
    </row>
    <row r="14" spans="1:14">
      <c r="A14" t="s">
        <v>90</v>
      </c>
      <c r="B14" t="s">
        <v>84</v>
      </c>
      <c r="D14" t="s">
        <v>91</v>
      </c>
      <c r="E14" t="s">
        <v>91</v>
      </c>
      <c r="I14" t="s">
        <v>91</v>
      </c>
      <c r="N14" t="s">
        <v>92</v>
      </c>
    </row>
    <row r="15" spans="1:14">
      <c r="A15" t="s">
        <v>93</v>
      </c>
      <c r="B15" t="s">
        <v>94</v>
      </c>
      <c r="C15" t="s">
        <v>68</v>
      </c>
      <c r="E15" t="s">
        <v>68</v>
      </c>
      <c r="N15" t="s">
        <v>69</v>
      </c>
    </row>
    <row r="16" spans="1:14">
      <c r="A16" t="s">
        <v>32</v>
      </c>
      <c r="B16" t="s">
        <v>94</v>
      </c>
      <c r="C16" t="s">
        <v>95</v>
      </c>
      <c r="E16" t="s">
        <v>96</v>
      </c>
      <c r="H16" t="s">
        <v>97</v>
      </c>
      <c r="J16" t="s">
        <v>95</v>
      </c>
      <c r="N16" t="s">
        <v>98</v>
      </c>
    </row>
    <row r="17" spans="1:14">
      <c r="A17" t="s">
        <v>33</v>
      </c>
      <c r="B17" t="s">
        <v>94</v>
      </c>
      <c r="C17" t="s">
        <v>99</v>
      </c>
      <c r="D17" t="s">
        <v>78</v>
      </c>
      <c r="N17" t="s">
        <v>100</v>
      </c>
    </row>
    <row r="18" spans="1:14">
      <c r="A18" t="s">
        <v>34</v>
      </c>
      <c r="B18" t="s">
        <v>101</v>
      </c>
      <c r="C18" t="s">
        <v>102</v>
      </c>
      <c r="D18" t="s">
        <v>78</v>
      </c>
      <c r="E18" t="s">
        <v>78</v>
      </c>
      <c r="G18" t="s">
        <v>102</v>
      </c>
      <c r="I18" t="s">
        <v>102</v>
      </c>
      <c r="K18" t="s">
        <v>103</v>
      </c>
      <c r="L18" t="s">
        <v>102</v>
      </c>
      <c r="M18" t="s">
        <v>104</v>
      </c>
      <c r="N18" t="s">
        <v>105</v>
      </c>
    </row>
    <row r="19" spans="1:14">
      <c r="A19" t="s">
        <v>35</v>
      </c>
      <c r="B19" t="s">
        <v>101</v>
      </c>
      <c r="C19" t="s">
        <v>106</v>
      </c>
      <c r="G19" t="s">
        <v>107</v>
      </c>
      <c r="N19" t="s">
        <v>108</v>
      </c>
    </row>
    <row r="20" spans="1:14">
      <c r="A20" t="s">
        <v>36</v>
      </c>
      <c r="B20" t="s">
        <v>101</v>
      </c>
      <c r="C20" t="s">
        <v>107</v>
      </c>
      <c r="F20" t="s">
        <v>107</v>
      </c>
      <c r="N20" t="s">
        <v>109</v>
      </c>
    </row>
    <row r="21" spans="1:14">
      <c r="A21" t="s">
        <v>110</v>
      </c>
      <c r="B21" t="s">
        <v>111</v>
      </c>
      <c r="C21" t="s">
        <v>112</v>
      </c>
      <c r="G21" t="s">
        <v>113</v>
      </c>
      <c r="N21" t="s">
        <v>114</v>
      </c>
    </row>
    <row r="22" spans="1:14">
      <c r="A22" t="s">
        <v>115</v>
      </c>
      <c r="B22" t="s">
        <v>116</v>
      </c>
      <c r="C22" t="s">
        <v>117</v>
      </c>
      <c r="E22" t="s">
        <v>117</v>
      </c>
      <c r="H22" t="s">
        <v>117</v>
      </c>
      <c r="J22" t="s">
        <v>117</v>
      </c>
      <c r="N22" t="s">
        <v>118</v>
      </c>
    </row>
    <row r="23" spans="1:14">
      <c r="A23" t="s">
        <v>38</v>
      </c>
      <c r="B23" t="s">
        <v>116</v>
      </c>
      <c r="C23" t="s">
        <v>85</v>
      </c>
      <c r="D23" t="s">
        <v>119</v>
      </c>
      <c r="F23" t="s">
        <v>56</v>
      </c>
      <c r="N23" t="s">
        <v>120</v>
      </c>
    </row>
    <row r="24" spans="1:14">
      <c r="A24" t="s">
        <v>39</v>
      </c>
      <c r="B24" t="s">
        <v>116</v>
      </c>
      <c r="E24" t="s">
        <v>121</v>
      </c>
      <c r="F24" t="s">
        <v>122</v>
      </c>
      <c r="N24" t="s">
        <v>123</v>
      </c>
    </row>
    <row r="25" spans="1:14">
      <c r="A25" t="s">
        <v>40</v>
      </c>
      <c r="B25" t="s">
        <v>124</v>
      </c>
      <c r="D25" t="s">
        <v>104</v>
      </c>
      <c r="E25" t="s">
        <v>125</v>
      </c>
      <c r="I25" t="s">
        <v>104</v>
      </c>
      <c r="N25" t="s">
        <v>126</v>
      </c>
    </row>
    <row r="26" spans="1:14">
      <c r="A26" t="s">
        <v>127</v>
      </c>
      <c r="B26" t="s">
        <v>124</v>
      </c>
      <c r="C26" t="s">
        <v>128</v>
      </c>
      <c r="E26" t="s">
        <v>129</v>
      </c>
      <c r="F26" t="s">
        <v>130</v>
      </c>
      <c r="N26" t="s">
        <v>131</v>
      </c>
    </row>
    <row r="27" spans="1:14">
      <c r="A27" t="s">
        <v>132</v>
      </c>
      <c r="B27" t="s">
        <v>124</v>
      </c>
      <c r="D27" t="s">
        <v>102</v>
      </c>
      <c r="E27" t="s">
        <v>104</v>
      </c>
      <c r="F27" t="s">
        <v>103</v>
      </c>
      <c r="N27" t="s">
        <v>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extracted</vt:lpstr>
      <vt:lpstr>raw_subset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Shi</cp:lastModifiedBy>
  <dcterms:created xsi:type="dcterms:W3CDTF">2026-03-05T13:32:04Z</dcterms:created>
  <dcterms:modified xsi:type="dcterms:W3CDTF">2026-03-05T15:35:33Z</dcterms:modified>
</cp:coreProperties>
</file>