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ining/Desktop/graph analysis/RepCap Data/data/"/>
    </mc:Choice>
  </mc:AlternateContent>
  <xr:revisionPtr revIDLastSave="0" documentId="13_ncr:1_{FCFA7F57-AFB0-F04E-A48A-227EA9A1812B}" xr6:coauthVersionLast="47" xr6:coauthVersionMax="47" xr10:uidLastSave="{00000000-0000-0000-0000-000000000000}"/>
  <bookViews>
    <workbookView xWindow="0" yWindow="740" windowWidth="30240" windowHeight="18900" xr2:uid="{613C96EF-2F4D-EE4F-8973-B9AF28490D67}"/>
  </bookViews>
  <sheets>
    <sheet name="Sheet2" sheetId="3" r:id="rId1"/>
    <sheet name="Sheet1 (2)" sheetId="2" r:id="rId2"/>
    <sheet name="Sheet1" sheetId="1" r:id="rId3"/>
  </sheets>
  <definedNames>
    <definedName name="bbib10" localSheetId="2">Sheet1!$A$3</definedName>
    <definedName name="bbib10" localSheetId="1">'Sheet1 (2)'!$B$2</definedName>
    <definedName name="bbib14" localSheetId="2">Sheet1!$A$5</definedName>
    <definedName name="bbib14" localSheetId="1">'Sheet1 (2)'!$B$4</definedName>
    <definedName name="bbib15" localSheetId="2">Sheet1!$A$6</definedName>
    <definedName name="bbib15" localSheetId="1">'Sheet1 (2)'!#REF!</definedName>
    <definedName name="bbib16" localSheetId="2">Sheet1!$A$9</definedName>
    <definedName name="bbib16" localSheetId="1">'Sheet1 (2)'!$B$7</definedName>
    <definedName name="bbib17" localSheetId="2">Sheet1!$A$14</definedName>
    <definedName name="bbib17" localSheetId="1">'Sheet1 (2)'!$B$12</definedName>
    <definedName name="bbib18" localSheetId="2">Sheet1!$A$15</definedName>
    <definedName name="bbib18" localSheetId="1">'Sheet1 (2)'!$B$13</definedName>
    <definedName name="bbib19" localSheetId="2">Sheet1!$A$17</definedName>
    <definedName name="bbib19" localSheetId="1">'Sheet1 (2)'!$B$14</definedName>
    <definedName name="bbib20" localSheetId="2">Sheet1!$A$19</definedName>
    <definedName name="bbib20" localSheetId="1">'Sheet1 (2)'!#REF!</definedName>
    <definedName name="bbib21" localSheetId="2">Sheet1!$A$16</definedName>
    <definedName name="bbib21" localSheetId="1">'Sheet1 (2)'!#REF!</definedName>
    <definedName name="bbib22" localSheetId="2">Sheet1!$A$4</definedName>
    <definedName name="bbib22" localSheetId="1">'Sheet1 (2)'!$B$3</definedName>
    <definedName name="bbib23" localSheetId="2">Sheet1!$A$7</definedName>
    <definedName name="bbib23" localSheetId="1">'Sheet1 (2)'!$B$5</definedName>
    <definedName name="bbib24" localSheetId="2">Sheet1!$A$8</definedName>
    <definedName name="bbib24" localSheetId="1">'Sheet1 (2)'!$B$6</definedName>
    <definedName name="bbib25" localSheetId="2">Sheet1!$A$10</definedName>
    <definedName name="bbib25" localSheetId="1">'Sheet1 (2)'!$B$8</definedName>
    <definedName name="bbib26" localSheetId="2">Sheet1!$A$12</definedName>
    <definedName name="bbib26" localSheetId="1">'Sheet1 (2)'!$B$10</definedName>
    <definedName name="bbib27" localSheetId="2">Sheet1!$A$13</definedName>
    <definedName name="bbib27" localSheetId="1">'Sheet1 (2)'!$B$11</definedName>
    <definedName name="bbib28" localSheetId="2">Sheet1!$A$18</definedName>
    <definedName name="bbib28" localSheetId="1">'Sheet1 (2)'!$B$15</definedName>
    <definedName name="bbib29" localSheetId="2">Sheet1!$A$20</definedName>
    <definedName name="bbib29" localSheetId="1">'Sheet1 (2)'!$B$16</definedName>
    <definedName name="bbib9" localSheetId="2">Sheet1!$A$11</definedName>
    <definedName name="bbib9" localSheetId="1">'Sheet1 (2)'!$B$9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0" i="1" l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L23" i="1" a="1"/>
  <c r="L23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<sst xmlns="http://schemas.openxmlformats.org/spreadsheetml/2006/main" count="166" uniqueCount="83">
  <si>
    <t>Study</t>
  </si>
  <si>
    <t>Year</t>
  </si>
  <si>
    <t>Medicine</t>
  </si>
  <si>
    <t>No. of patients</t>
  </si>
  <si>
    <t>High volume (%)</t>
  </si>
  <si>
    <t>Outcomes</t>
  </si>
  <si>
    <t>Treatment</t>
  </si>
  <si>
    <t>Control</t>
  </si>
  <si>
    <r>
      <t>Smith</t>
    </r>
    <r>
      <rPr>
        <u/>
        <sz val="12"/>
        <color theme="10"/>
        <rFont val="等线"/>
        <family val="4"/>
        <charset val="134"/>
        <scheme val="minor"/>
      </rPr>
      <t>10</t>
    </r>
  </si>
  <si>
    <t>ADT + Darolutamide + Docetaxel</t>
  </si>
  <si>
    <t>ADT + Docetaxel</t>
  </si>
  <si>
    <t>OS, PFS</t>
  </si>
  <si>
    <r>
      <t>Armstrong</t>
    </r>
    <r>
      <rPr>
        <u/>
        <sz val="12"/>
        <color theme="10"/>
        <rFont val="等线"/>
        <family val="4"/>
        <charset val="134"/>
        <scheme val="minor"/>
      </rPr>
      <t>22</t>
    </r>
  </si>
  <si>
    <t>ADT + Enzalutamide</t>
  </si>
  <si>
    <t>ADT</t>
  </si>
  <si>
    <r>
      <t>Akaza</t>
    </r>
    <r>
      <rPr>
        <u/>
        <sz val="12"/>
        <color theme="10"/>
        <rFont val="等线"/>
        <family val="4"/>
        <charset val="134"/>
        <scheme val="minor"/>
      </rPr>
      <t>14</t>
    </r>
  </si>
  <si>
    <t>ADT + Bicalutamide</t>
  </si>
  <si>
    <t>OS</t>
  </si>
  <si>
    <r>
      <t>Usami</t>
    </r>
    <r>
      <rPr>
        <u/>
        <sz val="12"/>
        <color theme="10"/>
        <rFont val="等线"/>
        <family val="4"/>
        <charset val="134"/>
        <scheme val="minor"/>
      </rPr>
      <t>15</t>
    </r>
  </si>
  <si>
    <t>PFS</t>
  </si>
  <si>
    <r>
      <t>Vaishampayan</t>
    </r>
    <r>
      <rPr>
        <u/>
        <sz val="12"/>
        <color theme="10"/>
        <rFont val="等线"/>
        <family val="4"/>
        <charset val="134"/>
        <scheme val="minor"/>
      </rPr>
      <t>23</t>
    </r>
  </si>
  <si>
    <r>
      <t>Davis</t>
    </r>
    <r>
      <rPr>
        <u/>
        <sz val="12"/>
        <color theme="10"/>
        <rFont val="等线"/>
        <family val="4"/>
        <charset val="134"/>
        <scheme val="minor"/>
      </rPr>
      <t>24</t>
    </r>
  </si>
  <si>
    <t>ADT + Bicalutamide, Nilutamide, Flutamide</t>
  </si>
  <si>
    <r>
      <t>Tyrrell</t>
    </r>
    <r>
      <rPr>
        <u/>
        <sz val="12"/>
        <color theme="10"/>
        <rFont val="等线"/>
        <family val="4"/>
        <charset val="134"/>
        <scheme val="minor"/>
      </rPr>
      <t>16</t>
    </r>
  </si>
  <si>
    <t>ADT + Flutamide</t>
  </si>
  <si>
    <r>
      <t>Fizazi</t>
    </r>
    <r>
      <rPr>
        <u/>
        <sz val="12"/>
        <color theme="10"/>
        <rFont val="等线"/>
        <family val="4"/>
        <charset val="134"/>
        <scheme val="minor"/>
      </rPr>
      <t>25</t>
    </r>
  </si>
  <si>
    <t>ADT + Abiraterone</t>
  </si>
  <si>
    <r>
      <t>Fizazi</t>
    </r>
    <r>
      <rPr>
        <u/>
        <sz val="12"/>
        <color theme="10"/>
        <rFont val="等线"/>
        <family val="4"/>
        <charset val="134"/>
        <scheme val="minor"/>
      </rPr>
      <t>9</t>
    </r>
  </si>
  <si>
    <t>ADT + Abiraterone + Docetaxel</t>
  </si>
  <si>
    <r>
      <t>Gu</t>
    </r>
    <r>
      <rPr>
        <u/>
        <sz val="12"/>
        <color theme="10"/>
        <rFont val="等线"/>
        <family val="4"/>
        <charset val="134"/>
        <scheme val="minor"/>
      </rPr>
      <t>26</t>
    </r>
  </si>
  <si>
    <t>ADT + Rezvilutamide</t>
  </si>
  <si>
    <r>
      <t>Chi</t>
    </r>
    <r>
      <rPr>
        <u/>
        <sz val="12"/>
        <color theme="10"/>
        <rFont val="等线"/>
        <family val="4"/>
        <charset val="134"/>
        <scheme val="minor"/>
      </rPr>
      <t>27</t>
    </r>
  </si>
  <si>
    <t>ADT + Apalutamide</t>
  </si>
  <si>
    <r>
      <t>Schellhammer</t>
    </r>
    <r>
      <rPr>
        <u/>
        <sz val="12"/>
        <color theme="10"/>
        <rFont val="等线"/>
        <family val="4"/>
        <charset val="134"/>
        <scheme val="minor"/>
      </rPr>
      <t>17</t>
    </r>
  </si>
  <si>
    <r>
      <t>Eisenberger</t>
    </r>
    <r>
      <rPr>
        <u/>
        <sz val="12"/>
        <color theme="10"/>
        <rFont val="等线"/>
        <family val="4"/>
        <charset val="134"/>
        <scheme val="minor"/>
      </rPr>
      <t>18</t>
    </r>
  </si>
  <si>
    <r>
      <t>Alghandour</t>
    </r>
    <r>
      <rPr>
        <u/>
        <sz val="12"/>
        <color theme="10"/>
        <rFont val="等线"/>
        <family val="4"/>
        <charset val="134"/>
        <scheme val="minor"/>
      </rPr>
      <t>21</t>
    </r>
  </si>
  <si>
    <t>ADT + Metformin + Bicalutamide</t>
  </si>
  <si>
    <r>
      <t>Reijke</t>
    </r>
    <r>
      <rPr>
        <u/>
        <sz val="12"/>
        <color theme="10"/>
        <rFont val="等线"/>
        <family val="4"/>
        <charset val="134"/>
        <scheme val="minor"/>
      </rPr>
      <t>19</t>
    </r>
  </si>
  <si>
    <t>ADT + Nilutamide</t>
  </si>
  <si>
    <r>
      <t>Agarwal</t>
    </r>
    <r>
      <rPr>
        <u/>
        <sz val="12"/>
        <color theme="10"/>
        <rFont val="等线"/>
        <family val="4"/>
        <charset val="134"/>
        <scheme val="minor"/>
      </rPr>
      <t>28</t>
    </r>
  </si>
  <si>
    <t>ADT + Orteronel</t>
  </si>
  <si>
    <r>
      <t>Palmbos</t>
    </r>
    <r>
      <rPr>
        <u/>
        <sz val="12"/>
        <color theme="10"/>
        <rFont val="等线"/>
        <family val="4"/>
        <charset val="134"/>
        <scheme val="minor"/>
      </rPr>
      <t>20</t>
    </r>
  </si>
  <si>
    <t>ADT + Bicalutamide + Palbociclib</t>
  </si>
  <si>
    <r>
      <t>James</t>
    </r>
    <r>
      <rPr>
        <u/>
        <sz val="12"/>
        <color theme="10"/>
        <rFont val="等线"/>
        <family val="4"/>
        <charset val="134"/>
        <scheme val="minor"/>
      </rPr>
      <t>29</t>
    </r>
  </si>
  <si>
    <t>ADT + Darolutamide + Docetaxel</t>
    <phoneticPr fontId="5" type="noConversion"/>
  </si>
  <si>
    <t>ADT + Docetaxel</t>
    <phoneticPr fontId="5" type="noConversion"/>
  </si>
  <si>
    <t>ADT + Abiraterone + Docetaxel</t>
    <phoneticPr fontId="5" type="noConversion"/>
  </si>
  <si>
    <t>t1</t>
    <phoneticPr fontId="5" type="noConversion"/>
  </si>
  <si>
    <t>t2</t>
    <phoneticPr fontId="5" type="noConversion"/>
  </si>
  <si>
    <t>n1</t>
    <phoneticPr fontId="5" type="noConversion"/>
  </si>
  <si>
    <t>n2</t>
    <phoneticPr fontId="5" type="noConversion"/>
  </si>
  <si>
    <t>StudyName</t>
    <phoneticPr fontId="5" type="noConversion"/>
  </si>
  <si>
    <t>StudyID</t>
    <phoneticPr fontId="5" type="noConversion"/>
  </si>
  <si>
    <t>Smith10</t>
  </si>
  <si>
    <t>Armstrong22</t>
  </si>
  <si>
    <t>Akaza14</t>
  </si>
  <si>
    <t>Vaishampayan23</t>
  </si>
  <si>
    <t>Davis24</t>
  </si>
  <si>
    <t>Tyrrell16</t>
  </si>
  <si>
    <t>Fizazi25</t>
  </si>
  <si>
    <t>Fizazi9</t>
  </si>
  <si>
    <t>Gu26</t>
  </si>
  <si>
    <t>Chi27</t>
  </si>
  <si>
    <t>Schellhammer17</t>
  </si>
  <si>
    <t>Eisenberger18</t>
  </si>
  <si>
    <t>Reijke19</t>
  </si>
  <si>
    <t>Agarwal28</t>
  </si>
  <si>
    <t>James29</t>
  </si>
  <si>
    <r>
      <t>Smith</t>
    </r>
    <r>
      <rPr>
        <sz val="12"/>
        <color theme="1"/>
        <rFont val="等线"/>
        <family val="4"/>
        <charset val="134"/>
        <scheme val="minor"/>
      </rPr>
      <t>10</t>
    </r>
  </si>
  <si>
    <r>
      <t>Armstrong</t>
    </r>
    <r>
      <rPr>
        <sz val="12"/>
        <color theme="1"/>
        <rFont val="等线"/>
        <family val="4"/>
        <charset val="134"/>
        <scheme val="minor"/>
      </rPr>
      <t>22</t>
    </r>
  </si>
  <si>
    <r>
      <t>Usami</t>
    </r>
    <r>
      <rPr>
        <sz val="12"/>
        <color theme="1"/>
        <rFont val="等线"/>
        <family val="4"/>
        <charset val="134"/>
        <scheme val="minor"/>
      </rPr>
      <t>15</t>
    </r>
  </si>
  <si>
    <r>
      <t>Vaishampayan</t>
    </r>
    <r>
      <rPr>
        <sz val="12"/>
        <color theme="1"/>
        <rFont val="等线"/>
        <family val="4"/>
        <charset val="134"/>
        <scheme val="minor"/>
      </rPr>
      <t>23</t>
    </r>
  </si>
  <si>
    <r>
      <t>Davis</t>
    </r>
    <r>
      <rPr>
        <sz val="12"/>
        <color theme="1"/>
        <rFont val="等线"/>
        <family val="4"/>
        <charset val="134"/>
        <scheme val="minor"/>
      </rPr>
      <t>24</t>
    </r>
  </si>
  <si>
    <r>
      <t>Fizazi</t>
    </r>
    <r>
      <rPr>
        <sz val="12"/>
        <color theme="1"/>
        <rFont val="等线"/>
        <family val="4"/>
        <charset val="134"/>
        <scheme val="minor"/>
      </rPr>
      <t>9</t>
    </r>
  </si>
  <si>
    <r>
      <t>Gu</t>
    </r>
    <r>
      <rPr>
        <sz val="12"/>
        <color theme="1"/>
        <rFont val="等线"/>
        <family val="4"/>
        <charset val="134"/>
        <scheme val="minor"/>
      </rPr>
      <t>26</t>
    </r>
  </si>
  <si>
    <r>
      <t>Chi</t>
    </r>
    <r>
      <rPr>
        <sz val="12"/>
        <color theme="1"/>
        <rFont val="等线"/>
        <family val="4"/>
        <charset val="134"/>
        <scheme val="minor"/>
      </rPr>
      <t>27</t>
    </r>
  </si>
  <si>
    <r>
      <t>Schellhammer</t>
    </r>
    <r>
      <rPr>
        <sz val="12"/>
        <color theme="1"/>
        <rFont val="等线"/>
        <family val="4"/>
        <charset val="134"/>
        <scheme val="minor"/>
      </rPr>
      <t>17</t>
    </r>
  </si>
  <si>
    <r>
      <t>Alghandour</t>
    </r>
    <r>
      <rPr>
        <sz val="12"/>
        <color theme="1"/>
        <rFont val="等线"/>
        <family val="4"/>
        <charset val="134"/>
        <scheme val="minor"/>
      </rPr>
      <t>21</t>
    </r>
  </si>
  <si>
    <r>
      <t>Reijke</t>
    </r>
    <r>
      <rPr>
        <sz val="12"/>
        <color theme="1"/>
        <rFont val="等线"/>
        <family val="4"/>
        <charset val="134"/>
        <scheme val="minor"/>
      </rPr>
      <t>19</t>
    </r>
  </si>
  <si>
    <r>
      <t>Agarwal</t>
    </r>
    <r>
      <rPr>
        <sz val="12"/>
        <color theme="1"/>
        <rFont val="等线"/>
        <family val="4"/>
        <charset val="134"/>
        <scheme val="minor"/>
      </rPr>
      <t>28</t>
    </r>
  </si>
  <si>
    <r>
      <t>Palmbos</t>
    </r>
    <r>
      <rPr>
        <sz val="12"/>
        <color theme="1"/>
        <rFont val="等线"/>
        <family val="4"/>
        <charset val="134"/>
        <scheme val="minor"/>
      </rPr>
      <t>20</t>
    </r>
  </si>
  <si>
    <r>
      <t>James</t>
    </r>
    <r>
      <rPr>
        <sz val="12"/>
        <color theme="1"/>
        <rFont val="等线"/>
        <family val="4"/>
        <charset val="134"/>
        <scheme val="minor"/>
      </rPr>
      <t>29</t>
    </r>
  </si>
  <si>
    <t>year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</si>
</sst>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2"/>
      <color theme="1"/>
      <name val="等线"/>
      <family val="2"/>
      <charset val="134"/>
      <scheme val="minor"/>
    </font>
    <font>
      <b/>
      <sz val="14"/>
      <color rgb="FF1F1F1F"/>
      <name val="Georgia"/>
      <family val="1"/>
    </font>
    <font>
      <sz val="14"/>
      <color rgb="FF1F1F1F"/>
      <name val="Georgia"/>
      <family val="1"/>
    </font>
    <font>
      <u/>
      <sz val="12"/>
      <color theme="10"/>
      <name val="等线"/>
      <family val="2"/>
      <charset val="134"/>
      <scheme val="minor"/>
    </font>
    <font>
      <u/>
      <sz val="12"/>
      <color theme="10"/>
      <name val="等线"/>
      <family val="4"/>
      <charset val="134"/>
      <scheme val="minor"/>
    </font>
    <font>
      <sz val="9"/>
      <name val="等线"/>
      <family val="2"/>
      <charset val="134"/>
      <scheme val="minor"/>
    </font>
    <font>
      <sz val="12"/>
      <color theme="1"/>
      <name val="等线"/>
      <family val="4"/>
      <charset val="134"/>
      <scheme val="minor"/>
    </font>
    <font>
      <sz val="14"/>
      <color rgb="FF1F1F1F"/>
      <name val="等线"/>
      <family val="4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1">
      <alignment vertical="center"/>
    </xf>
    <xf numFmtId="0" fontId="0" fillId="2" borderId="0" xfId="0" applyFill="1">
      <alignment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0" fillId="0" borderId="0" xfId="0" applyFill="1">
      <alignment vertical="center"/>
    </xf>
    <xf numFmtId="0" fontId="2" fillId="3" borderId="0" xfId="0" applyFont="1" applyFill="1">
      <alignment vertical="center"/>
    </xf>
    <xf numFmtId="0" fontId="0" fillId="3" borderId="0" xfId="0" applyFill="1">
      <alignment vertical="center"/>
    </xf>
    <xf numFmtId="0" fontId="7" fillId="3" borderId="0" xfId="0" applyFont="1" applyFill="1">
      <alignment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sciencedirect.com/science/article/pii/S2287888223000338?via%3Dihub" TargetMode="External"/><Relationship Id="rId13" Type="http://schemas.openxmlformats.org/officeDocument/2006/relationships/hyperlink" Target="https://www.sciencedirect.com/science/article/pii/S2287888223000338?via%3Dihub" TargetMode="External"/><Relationship Id="rId18" Type="http://schemas.openxmlformats.org/officeDocument/2006/relationships/hyperlink" Target="https://www.sciencedirect.com/science/article/pii/S2287888223000338?via%3Dihub" TargetMode="External"/><Relationship Id="rId3" Type="http://schemas.openxmlformats.org/officeDocument/2006/relationships/hyperlink" Target="https://www.sciencedirect.com/science/article/pii/S2287888223000338?via%3Dihub" TargetMode="External"/><Relationship Id="rId7" Type="http://schemas.openxmlformats.org/officeDocument/2006/relationships/hyperlink" Target="https://www.sciencedirect.com/science/article/pii/S2287888223000338?via%3Dihub" TargetMode="External"/><Relationship Id="rId12" Type="http://schemas.openxmlformats.org/officeDocument/2006/relationships/hyperlink" Target="https://www.sciencedirect.com/science/article/pii/S2287888223000338?via%3Dihub" TargetMode="External"/><Relationship Id="rId17" Type="http://schemas.openxmlformats.org/officeDocument/2006/relationships/hyperlink" Target="https://www.sciencedirect.com/science/article/pii/S2287888223000338?via%3Dihub" TargetMode="External"/><Relationship Id="rId2" Type="http://schemas.openxmlformats.org/officeDocument/2006/relationships/hyperlink" Target="https://www.sciencedirect.com/science/article/pii/S2287888223000338?via%3Dihub" TargetMode="External"/><Relationship Id="rId16" Type="http://schemas.openxmlformats.org/officeDocument/2006/relationships/hyperlink" Target="https://www.sciencedirect.com/science/article/pii/S2287888223000338?via%3Dihub" TargetMode="External"/><Relationship Id="rId1" Type="http://schemas.openxmlformats.org/officeDocument/2006/relationships/hyperlink" Target="https://www.sciencedirect.com/science/article/pii/S2287888223000338?via%3Dihub" TargetMode="External"/><Relationship Id="rId6" Type="http://schemas.openxmlformats.org/officeDocument/2006/relationships/hyperlink" Target="https://www.sciencedirect.com/science/article/pii/S2287888223000338?via%3Dihub" TargetMode="External"/><Relationship Id="rId11" Type="http://schemas.openxmlformats.org/officeDocument/2006/relationships/hyperlink" Target="https://www.sciencedirect.com/science/article/pii/S2287888223000338?via%3Dihub" TargetMode="External"/><Relationship Id="rId5" Type="http://schemas.openxmlformats.org/officeDocument/2006/relationships/hyperlink" Target="https://www.sciencedirect.com/science/article/pii/S2287888223000338?via%3Dihub" TargetMode="External"/><Relationship Id="rId15" Type="http://schemas.openxmlformats.org/officeDocument/2006/relationships/hyperlink" Target="https://www.sciencedirect.com/science/article/pii/S2287888223000338?via%3Dihub" TargetMode="External"/><Relationship Id="rId10" Type="http://schemas.openxmlformats.org/officeDocument/2006/relationships/hyperlink" Target="https://www.sciencedirect.com/science/article/pii/S2287888223000338?via%3Dihub" TargetMode="External"/><Relationship Id="rId4" Type="http://schemas.openxmlformats.org/officeDocument/2006/relationships/hyperlink" Target="https://www.sciencedirect.com/science/article/pii/S2287888223000338?via%3Dihub" TargetMode="External"/><Relationship Id="rId9" Type="http://schemas.openxmlformats.org/officeDocument/2006/relationships/hyperlink" Target="https://www.sciencedirect.com/science/article/pii/S2287888223000338?via%3Dihub" TargetMode="External"/><Relationship Id="rId14" Type="http://schemas.openxmlformats.org/officeDocument/2006/relationships/hyperlink" Target="https://www.sciencedirect.com/science/article/pii/S2287888223000338?via%3Dihu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720752-3DBB-C640-A61C-FFAF095052CD}">
  <dimension ref="A1:L15"/>
  <sheetViews>
    <sheetView tabSelected="1" workbookViewId="0">
      <selection activeCell="H19" sqref="H19"/>
    </sheetView>
  </sheetViews>
  <sheetFormatPr baseColWidth="10" defaultRowHeight="16"/>
  <cols>
    <col min="4" max="5" width="7.5" customWidth="1"/>
    <col min="10" max="10" width="12" bestFit="1" customWidth="1"/>
  </cols>
  <sheetData>
    <row r="1" spans="1:12" ht="18">
      <c r="A1" t="s">
        <v>52</v>
      </c>
      <c r="B1" s="1" t="s">
        <v>51</v>
      </c>
      <c r="C1" s="1" t="s">
        <v>82</v>
      </c>
      <c r="D1" s="1" t="s">
        <v>49</v>
      </c>
      <c r="E1" s="1" t="s">
        <v>50</v>
      </c>
      <c r="F1" s="1" t="s">
        <v>47</v>
      </c>
      <c r="G1" s="1" t="s">
        <v>48</v>
      </c>
      <c r="H1" s="1"/>
    </row>
    <row r="2" spans="1:12" ht="18">
      <c r="A2">
        <v>1</v>
      </c>
      <c r="B2" s="7" t="s">
        <v>68</v>
      </c>
      <c r="C2" s="2">
        <v>2022</v>
      </c>
      <c r="D2" s="2">
        <v>651</v>
      </c>
      <c r="E2" s="2">
        <v>654</v>
      </c>
      <c r="F2" s="2">
        <v>8</v>
      </c>
      <c r="G2" s="2">
        <v>1</v>
      </c>
      <c r="H2" s="2"/>
      <c r="I2" s="2">
        <v>1</v>
      </c>
      <c r="J2" s="2" t="s">
        <v>14</v>
      </c>
      <c r="K2" s="2"/>
      <c r="L2" s="2"/>
    </row>
    <row r="3" spans="1:12" ht="18">
      <c r="A3">
        <v>2</v>
      </c>
      <c r="B3" s="7" t="s">
        <v>69</v>
      </c>
      <c r="C3" s="2">
        <v>2022</v>
      </c>
      <c r="D3" s="2">
        <v>574</v>
      </c>
      <c r="E3" s="2">
        <v>576</v>
      </c>
      <c r="F3" s="2">
        <v>9</v>
      </c>
      <c r="G3" s="2">
        <v>1</v>
      </c>
      <c r="H3" s="2"/>
      <c r="I3" s="2">
        <v>2</v>
      </c>
      <c r="J3" s="8" t="s">
        <v>26</v>
      </c>
      <c r="K3" s="2"/>
      <c r="L3" s="2"/>
    </row>
    <row r="4" spans="1:12" ht="18">
      <c r="A4">
        <v>3</v>
      </c>
      <c r="B4" s="7" t="s">
        <v>70</v>
      </c>
      <c r="C4" s="2">
        <v>2007</v>
      </c>
      <c r="D4" s="2">
        <v>102</v>
      </c>
      <c r="E4" s="2">
        <v>101</v>
      </c>
      <c r="F4" s="2">
        <v>5</v>
      </c>
      <c r="G4" s="2">
        <v>1</v>
      </c>
      <c r="H4" s="2"/>
      <c r="I4" s="2">
        <v>3</v>
      </c>
      <c r="J4" s="8" t="s">
        <v>46</v>
      </c>
      <c r="K4" s="2"/>
      <c r="L4" s="2"/>
    </row>
    <row r="5" spans="1:12" ht="18">
      <c r="A5">
        <v>4</v>
      </c>
      <c r="B5" s="7" t="s">
        <v>71</v>
      </c>
      <c r="C5" s="2">
        <v>2021</v>
      </c>
      <c r="D5" s="2">
        <v>36</v>
      </c>
      <c r="E5" s="2">
        <v>35</v>
      </c>
      <c r="F5" s="2">
        <v>9</v>
      </c>
      <c r="G5" s="2">
        <v>5</v>
      </c>
      <c r="H5" s="2"/>
      <c r="I5" s="2">
        <v>4</v>
      </c>
      <c r="J5" s="8" t="s">
        <v>32</v>
      </c>
      <c r="K5" s="2"/>
      <c r="L5" s="2"/>
    </row>
    <row r="6" spans="1:12" ht="18">
      <c r="A6">
        <v>5</v>
      </c>
      <c r="B6" s="7" t="s">
        <v>72</v>
      </c>
      <c r="C6" s="2">
        <v>2019</v>
      </c>
      <c r="D6" s="2">
        <v>563</v>
      </c>
      <c r="E6" s="2">
        <v>562</v>
      </c>
      <c r="F6" s="2">
        <v>9</v>
      </c>
      <c r="G6" s="2">
        <v>7</v>
      </c>
      <c r="H6" s="2"/>
      <c r="I6" s="2">
        <v>5</v>
      </c>
      <c r="J6" s="8" t="s">
        <v>16</v>
      </c>
      <c r="K6" s="2"/>
      <c r="L6" s="2"/>
    </row>
    <row r="7" spans="1:12" ht="18">
      <c r="A7">
        <v>6</v>
      </c>
      <c r="B7" s="7" t="s">
        <v>73</v>
      </c>
      <c r="C7" s="2">
        <v>2022</v>
      </c>
      <c r="D7" s="2">
        <v>583</v>
      </c>
      <c r="E7" s="2">
        <v>589</v>
      </c>
      <c r="F7" s="2">
        <v>3</v>
      </c>
      <c r="G7" s="2">
        <v>1</v>
      </c>
      <c r="H7" s="2"/>
      <c r="I7" s="2">
        <v>6</v>
      </c>
      <c r="J7" s="8" t="s">
        <v>42</v>
      </c>
      <c r="K7" s="2"/>
      <c r="L7" s="2"/>
    </row>
    <row r="8" spans="1:12" ht="18">
      <c r="A8">
        <v>7</v>
      </c>
      <c r="B8" s="7" t="s">
        <v>74</v>
      </c>
      <c r="C8" s="2">
        <v>2022</v>
      </c>
      <c r="D8" s="2">
        <v>326</v>
      </c>
      <c r="E8" s="2">
        <v>328</v>
      </c>
      <c r="F8" s="2">
        <v>14</v>
      </c>
      <c r="G8" s="2">
        <v>5</v>
      </c>
      <c r="H8" s="2"/>
      <c r="I8" s="2">
        <v>7</v>
      </c>
      <c r="J8" s="8" t="s">
        <v>22</v>
      </c>
      <c r="K8" s="2"/>
      <c r="L8" s="2"/>
    </row>
    <row r="9" spans="1:12" ht="18">
      <c r="A9">
        <v>8</v>
      </c>
      <c r="B9" s="7" t="s">
        <v>75</v>
      </c>
      <c r="C9" s="2">
        <v>2021</v>
      </c>
      <c r="D9" s="2">
        <v>525</v>
      </c>
      <c r="E9" s="2">
        <v>527</v>
      </c>
      <c r="F9" s="2">
        <v>4</v>
      </c>
      <c r="G9" s="2">
        <v>1</v>
      </c>
      <c r="H9" s="2"/>
      <c r="I9" s="2">
        <v>8</v>
      </c>
      <c r="J9" s="8" t="s">
        <v>9</v>
      </c>
      <c r="K9" s="2"/>
      <c r="L9" s="2"/>
    </row>
    <row r="10" spans="1:12" ht="18">
      <c r="A10">
        <v>9</v>
      </c>
      <c r="B10" s="7" t="s">
        <v>76</v>
      </c>
      <c r="C10" s="2">
        <v>1997</v>
      </c>
      <c r="D10" s="2">
        <v>404</v>
      </c>
      <c r="E10" s="2">
        <v>409</v>
      </c>
      <c r="F10" s="2">
        <v>5</v>
      </c>
      <c r="G10" s="2">
        <v>10</v>
      </c>
      <c r="H10" s="2"/>
      <c r="I10" s="2">
        <v>9</v>
      </c>
      <c r="J10" s="8" t="s">
        <v>13</v>
      </c>
      <c r="K10" s="2"/>
      <c r="L10" s="2"/>
    </row>
    <row r="11" spans="1:12" ht="18">
      <c r="A11">
        <v>10</v>
      </c>
      <c r="B11" s="7" t="s">
        <v>77</v>
      </c>
      <c r="C11" s="2">
        <v>2021</v>
      </c>
      <c r="D11" s="2">
        <v>36</v>
      </c>
      <c r="E11" s="2">
        <v>39</v>
      </c>
      <c r="F11" s="2">
        <v>11</v>
      </c>
      <c r="G11" s="2">
        <v>5</v>
      </c>
      <c r="H11" s="2"/>
      <c r="I11" s="2">
        <v>10</v>
      </c>
      <c r="J11" s="8" t="s">
        <v>24</v>
      </c>
      <c r="K11" s="2"/>
      <c r="L11" s="2"/>
    </row>
    <row r="12" spans="1:12" ht="18">
      <c r="A12">
        <v>11</v>
      </c>
      <c r="B12" s="7" t="s">
        <v>78</v>
      </c>
      <c r="C12" s="2">
        <v>2002</v>
      </c>
      <c r="D12" s="2">
        <v>225</v>
      </c>
      <c r="E12" s="2">
        <v>232</v>
      </c>
      <c r="F12" s="2">
        <v>12</v>
      </c>
      <c r="G12" s="2">
        <v>1</v>
      </c>
      <c r="H12" s="2"/>
      <c r="I12" s="2">
        <v>11</v>
      </c>
      <c r="J12" s="8" t="s">
        <v>36</v>
      </c>
      <c r="K12" s="2"/>
      <c r="L12" s="2"/>
    </row>
    <row r="13" spans="1:12" ht="18">
      <c r="A13">
        <v>12</v>
      </c>
      <c r="B13" s="7" t="s">
        <v>79</v>
      </c>
      <c r="C13" s="2">
        <v>2022</v>
      </c>
      <c r="D13" s="2">
        <v>638</v>
      </c>
      <c r="E13" s="2">
        <v>641</v>
      </c>
      <c r="F13" s="2">
        <v>13</v>
      </c>
      <c r="G13" s="2">
        <v>5</v>
      </c>
      <c r="H13" s="2"/>
      <c r="I13" s="2">
        <v>12</v>
      </c>
      <c r="J13" s="8" t="s">
        <v>38</v>
      </c>
      <c r="K13" s="2"/>
      <c r="L13" s="2"/>
    </row>
    <row r="14" spans="1:12" ht="18">
      <c r="A14">
        <v>13</v>
      </c>
      <c r="B14" s="7" t="s">
        <v>80</v>
      </c>
      <c r="C14" s="2">
        <v>2021</v>
      </c>
      <c r="D14" s="2">
        <v>40</v>
      </c>
      <c r="E14" s="2">
        <v>20</v>
      </c>
      <c r="F14" s="2">
        <v>6</v>
      </c>
      <c r="G14" s="2">
        <v>5</v>
      </c>
      <c r="H14" s="2"/>
      <c r="I14" s="2">
        <v>13</v>
      </c>
      <c r="J14" s="9" t="s">
        <v>40</v>
      </c>
      <c r="K14" s="2"/>
      <c r="L14" s="2"/>
    </row>
    <row r="15" spans="1:12" ht="18">
      <c r="A15">
        <v>14</v>
      </c>
      <c r="B15" s="7" t="s">
        <v>81</v>
      </c>
      <c r="C15" s="2">
        <v>2022</v>
      </c>
      <c r="D15" s="2">
        <v>501</v>
      </c>
      <c r="E15" s="2">
        <v>502</v>
      </c>
      <c r="F15" s="2">
        <v>2</v>
      </c>
      <c r="G15" s="2">
        <v>1</v>
      </c>
      <c r="H15" s="2"/>
      <c r="I15" s="2">
        <v>14</v>
      </c>
      <c r="J15" s="9" t="s">
        <v>30</v>
      </c>
      <c r="K15" s="2"/>
      <c r="L15" s="2"/>
    </row>
  </sheetData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13747-C559-2D4A-A31B-69FF19F8131A}">
  <dimension ref="A1:K16"/>
  <sheetViews>
    <sheetView zoomScale="92" workbookViewId="0">
      <selection activeCell="K14" sqref="K14"/>
    </sheetView>
  </sheetViews>
  <sheetFormatPr baseColWidth="10" defaultRowHeight="16"/>
  <cols>
    <col min="1" max="1" width="10.83203125" style="5"/>
    <col min="2" max="2" width="10.83203125" style="5" customWidth="1"/>
    <col min="3" max="3" width="17.33203125" style="5" customWidth="1"/>
    <col min="4" max="4" width="5.83203125" style="5" customWidth="1"/>
    <col min="5" max="5" width="7.33203125" style="5" customWidth="1"/>
    <col min="6" max="16384" width="10.83203125" style="5"/>
  </cols>
  <sheetData>
    <row r="1" spans="1:11" ht="18">
      <c r="A1" s="5" t="s">
        <v>52</v>
      </c>
      <c r="B1" s="6" t="s">
        <v>51</v>
      </c>
      <c r="C1" s="6" t="s">
        <v>1</v>
      </c>
      <c r="D1" s="6" t="s">
        <v>47</v>
      </c>
      <c r="E1" s="6" t="s">
        <v>48</v>
      </c>
      <c r="F1" s="6" t="s">
        <v>49</v>
      </c>
      <c r="G1" s="6" t="s">
        <v>50</v>
      </c>
    </row>
    <row r="2" spans="1:11" ht="18">
      <c r="A2" s="5">
        <v>1</v>
      </c>
      <c r="B2" s="5" t="s">
        <v>53</v>
      </c>
      <c r="C2" s="6">
        <v>2022</v>
      </c>
      <c r="D2" s="10">
        <v>5</v>
      </c>
      <c r="E2" s="10">
        <v>13</v>
      </c>
      <c r="F2" s="6">
        <v>651</v>
      </c>
      <c r="G2" s="6">
        <v>654</v>
      </c>
      <c r="J2" s="5">
        <v>1</v>
      </c>
      <c r="K2" s="5" t="s">
        <v>14</v>
      </c>
    </row>
    <row r="3" spans="1:11" ht="18">
      <c r="A3" s="5">
        <v>2</v>
      </c>
      <c r="B3" s="5" t="s">
        <v>54</v>
      </c>
      <c r="C3" s="6">
        <v>2022</v>
      </c>
      <c r="D3" s="6">
        <v>6</v>
      </c>
      <c r="E3" s="6">
        <v>1</v>
      </c>
      <c r="F3" s="6">
        <v>574</v>
      </c>
      <c r="G3" s="6">
        <v>576</v>
      </c>
      <c r="J3" s="5">
        <v>2</v>
      </c>
      <c r="K3" s="5" t="s">
        <v>16</v>
      </c>
    </row>
    <row r="4" spans="1:11" ht="18">
      <c r="A4" s="5">
        <v>3</v>
      </c>
      <c r="B4" s="5" t="s">
        <v>55</v>
      </c>
      <c r="C4" s="6">
        <v>2009</v>
      </c>
      <c r="D4" s="6">
        <v>2</v>
      </c>
      <c r="E4" s="6">
        <v>1</v>
      </c>
      <c r="F4" s="6">
        <v>102</v>
      </c>
      <c r="G4" s="6">
        <v>101</v>
      </c>
      <c r="J4" s="5">
        <v>3</v>
      </c>
      <c r="K4" s="5" t="s">
        <v>22</v>
      </c>
    </row>
    <row r="5" spans="1:11" ht="18">
      <c r="A5" s="5">
        <v>4</v>
      </c>
      <c r="B5" s="5" t="s">
        <v>56</v>
      </c>
      <c r="C5" s="6">
        <v>2021</v>
      </c>
      <c r="D5" s="6">
        <v>6</v>
      </c>
      <c r="E5" s="6">
        <v>2</v>
      </c>
      <c r="F5" s="6">
        <v>36</v>
      </c>
      <c r="G5" s="6">
        <v>35</v>
      </c>
      <c r="J5" s="5">
        <v>4</v>
      </c>
      <c r="K5" s="5" t="s">
        <v>24</v>
      </c>
    </row>
    <row r="6" spans="1:11" ht="18">
      <c r="A6" s="5">
        <v>5</v>
      </c>
      <c r="B6" s="5" t="s">
        <v>57</v>
      </c>
      <c r="C6" s="6">
        <v>2019</v>
      </c>
      <c r="D6" s="6">
        <v>6</v>
      </c>
      <c r="E6" s="6">
        <v>3</v>
      </c>
      <c r="F6" s="6">
        <v>563</v>
      </c>
      <c r="G6" s="6">
        <v>562</v>
      </c>
      <c r="J6" s="5">
        <v>5</v>
      </c>
      <c r="K6" s="5" t="s">
        <v>44</v>
      </c>
    </row>
    <row r="7" spans="1:11" ht="18">
      <c r="A7" s="5">
        <v>6</v>
      </c>
      <c r="B7" s="5" t="s">
        <v>58</v>
      </c>
      <c r="C7" s="6">
        <v>2000</v>
      </c>
      <c r="D7" s="6">
        <v>4</v>
      </c>
      <c r="E7" s="6">
        <v>1</v>
      </c>
      <c r="F7" s="6">
        <v>152</v>
      </c>
      <c r="G7" s="6">
        <v>151</v>
      </c>
      <c r="J7" s="5">
        <v>6</v>
      </c>
      <c r="K7" s="5" t="s">
        <v>13</v>
      </c>
    </row>
    <row r="8" spans="1:11" ht="18">
      <c r="A8" s="5">
        <v>7</v>
      </c>
      <c r="B8" s="5" t="s">
        <v>59</v>
      </c>
      <c r="C8" s="6">
        <v>2019</v>
      </c>
      <c r="D8" s="6">
        <v>7</v>
      </c>
      <c r="E8" s="6">
        <v>1</v>
      </c>
      <c r="F8" s="6">
        <v>597</v>
      </c>
      <c r="G8" s="6">
        <v>602</v>
      </c>
      <c r="J8" s="5">
        <v>7</v>
      </c>
      <c r="K8" s="5" t="s">
        <v>26</v>
      </c>
    </row>
    <row r="9" spans="1:11" ht="18">
      <c r="A9" s="5">
        <v>8</v>
      </c>
      <c r="B9" s="5" t="s">
        <v>60</v>
      </c>
      <c r="C9" s="6">
        <v>2022</v>
      </c>
      <c r="D9" s="10">
        <v>8</v>
      </c>
      <c r="E9" s="10">
        <v>13</v>
      </c>
      <c r="F9" s="6">
        <v>583</v>
      </c>
      <c r="G9" s="6">
        <v>589</v>
      </c>
      <c r="J9" s="5">
        <v>8</v>
      </c>
      <c r="K9" s="5" t="s">
        <v>46</v>
      </c>
    </row>
    <row r="10" spans="1:11" ht="18">
      <c r="A10" s="5">
        <v>9</v>
      </c>
      <c r="B10" s="5" t="s">
        <v>61</v>
      </c>
      <c r="C10" s="6">
        <v>2022</v>
      </c>
      <c r="D10" s="6">
        <v>9</v>
      </c>
      <c r="E10" s="6">
        <v>2</v>
      </c>
      <c r="F10" s="6">
        <v>326</v>
      </c>
      <c r="G10" s="6">
        <v>328</v>
      </c>
      <c r="J10" s="5">
        <v>9</v>
      </c>
      <c r="K10" s="5" t="s">
        <v>30</v>
      </c>
    </row>
    <row r="11" spans="1:11" ht="18">
      <c r="A11" s="5">
        <v>10</v>
      </c>
      <c r="B11" s="5" t="s">
        <v>62</v>
      </c>
      <c r="C11" s="6">
        <v>2021</v>
      </c>
      <c r="D11" s="6">
        <v>10</v>
      </c>
      <c r="E11" s="6">
        <v>1</v>
      </c>
      <c r="F11" s="6">
        <v>525</v>
      </c>
      <c r="G11" s="6">
        <v>527</v>
      </c>
      <c r="J11" s="5">
        <v>10</v>
      </c>
      <c r="K11" s="5" t="s">
        <v>32</v>
      </c>
    </row>
    <row r="12" spans="1:11" ht="18">
      <c r="A12" s="5">
        <v>11</v>
      </c>
      <c r="B12" s="5" t="s">
        <v>63</v>
      </c>
      <c r="C12" s="6">
        <v>1997</v>
      </c>
      <c r="D12" s="6">
        <v>2</v>
      </c>
      <c r="E12" s="6">
        <v>4</v>
      </c>
      <c r="F12" s="6">
        <v>404</v>
      </c>
      <c r="G12" s="6">
        <v>409</v>
      </c>
      <c r="J12" s="5">
        <v>11</v>
      </c>
      <c r="K12" s="5" t="s">
        <v>38</v>
      </c>
    </row>
    <row r="13" spans="1:11" ht="18">
      <c r="A13" s="5">
        <v>12</v>
      </c>
      <c r="B13" s="5" t="s">
        <v>64</v>
      </c>
      <c r="C13" s="6">
        <v>1998</v>
      </c>
      <c r="D13" s="6">
        <v>4</v>
      </c>
      <c r="E13" s="6">
        <v>1</v>
      </c>
      <c r="F13" s="6">
        <v>698</v>
      </c>
      <c r="G13" s="6">
        <v>687</v>
      </c>
      <c r="J13" s="5">
        <v>12</v>
      </c>
      <c r="K13" s="5" t="s">
        <v>40</v>
      </c>
    </row>
    <row r="14" spans="1:11" ht="18">
      <c r="A14" s="5">
        <v>13</v>
      </c>
      <c r="B14" s="5" t="s">
        <v>65</v>
      </c>
      <c r="C14" s="6">
        <v>2002</v>
      </c>
      <c r="D14" s="6">
        <v>11</v>
      </c>
      <c r="E14" s="6">
        <v>1</v>
      </c>
      <c r="F14" s="6">
        <v>225</v>
      </c>
      <c r="G14" s="6">
        <v>232</v>
      </c>
      <c r="J14" s="5">
        <v>13</v>
      </c>
      <c r="K14" s="5" t="s">
        <v>45</v>
      </c>
    </row>
    <row r="15" spans="1:11" ht="18">
      <c r="A15" s="5">
        <v>14</v>
      </c>
      <c r="B15" s="5" t="s">
        <v>66</v>
      </c>
      <c r="C15" s="6">
        <v>2022</v>
      </c>
      <c r="D15" s="6">
        <v>12</v>
      </c>
      <c r="E15" s="6">
        <v>2</v>
      </c>
      <c r="F15" s="6">
        <v>638</v>
      </c>
      <c r="G15" s="6">
        <v>641</v>
      </c>
    </row>
    <row r="16" spans="1:11" ht="18">
      <c r="A16" s="5">
        <v>15</v>
      </c>
      <c r="B16" s="5" t="s">
        <v>67</v>
      </c>
      <c r="C16" s="6">
        <v>2022</v>
      </c>
      <c r="D16" s="6">
        <v>7</v>
      </c>
      <c r="E16" s="6">
        <v>1</v>
      </c>
      <c r="F16" s="6">
        <v>501</v>
      </c>
      <c r="G16" s="6">
        <v>502</v>
      </c>
    </row>
  </sheetData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3F41C6-2A3E-C74B-8C27-8A9BCE0552D5}">
  <dimension ref="A1:L37"/>
  <sheetViews>
    <sheetView topLeftCell="C1" zoomScale="92" workbookViewId="0">
      <selection activeCell="C3" sqref="C3:E20"/>
    </sheetView>
  </sheetViews>
  <sheetFormatPr baseColWidth="10" defaultRowHeight="16"/>
  <cols>
    <col min="1" max="1" width="10.83203125" customWidth="1"/>
    <col min="2" max="2" width="17.33203125" customWidth="1"/>
    <col min="3" max="4" width="40.33203125" customWidth="1"/>
    <col min="5" max="6" width="27" customWidth="1"/>
  </cols>
  <sheetData>
    <row r="1" spans="1:11" ht="18">
      <c r="A1" s="1" t="s">
        <v>0</v>
      </c>
      <c r="B1" s="1" t="s">
        <v>1</v>
      </c>
      <c r="C1" s="1" t="s">
        <v>2</v>
      </c>
      <c r="D1" s="1"/>
      <c r="G1" s="1" t="s">
        <v>3</v>
      </c>
      <c r="I1" s="1" t="s">
        <v>4</v>
      </c>
      <c r="K1" s="1" t="s">
        <v>5</v>
      </c>
    </row>
    <row r="2" spans="1:11" ht="18">
      <c r="C2" s="1" t="s">
        <v>6</v>
      </c>
      <c r="D2" s="1"/>
      <c r="E2" s="1" t="s">
        <v>7</v>
      </c>
      <c r="F2" s="1"/>
      <c r="G2" s="1" t="s">
        <v>6</v>
      </c>
      <c r="H2" s="1" t="s">
        <v>7</v>
      </c>
      <c r="I2" s="1" t="s">
        <v>6</v>
      </c>
      <c r="J2" s="1" t="s">
        <v>7</v>
      </c>
    </row>
    <row r="3" spans="1:11" ht="18">
      <c r="A3" s="3" t="s">
        <v>8</v>
      </c>
      <c r="B3" s="2">
        <v>2022</v>
      </c>
      <c r="C3" s="2" t="s">
        <v>9</v>
      </c>
      <c r="D3" s="2">
        <f t="shared" ref="D3:D15" si="0">INDEX(D$26:D$37, MATCH(C3, E$26:E$37, 0))</f>
        <v>5</v>
      </c>
      <c r="E3" s="2" t="s">
        <v>10</v>
      </c>
      <c r="F3" s="2"/>
      <c r="G3" s="2">
        <v>651</v>
      </c>
      <c r="H3" s="2">
        <v>654</v>
      </c>
      <c r="I3" s="2"/>
      <c r="J3" s="2"/>
      <c r="K3" s="2" t="s">
        <v>11</v>
      </c>
    </row>
    <row r="4" spans="1:11" ht="18">
      <c r="A4" s="3" t="s">
        <v>12</v>
      </c>
      <c r="B4" s="2">
        <v>2022</v>
      </c>
      <c r="C4" s="2" t="s">
        <v>13</v>
      </c>
      <c r="D4" s="2">
        <f t="shared" si="0"/>
        <v>6</v>
      </c>
      <c r="E4" s="2" t="s">
        <v>14</v>
      </c>
      <c r="F4" s="2"/>
      <c r="G4" s="2">
        <v>574</v>
      </c>
      <c r="H4" s="2">
        <v>576</v>
      </c>
      <c r="I4" s="2">
        <v>61.7</v>
      </c>
      <c r="J4" s="2">
        <v>64.8</v>
      </c>
      <c r="K4" s="2" t="s">
        <v>11</v>
      </c>
    </row>
    <row r="5" spans="1:11" ht="18">
      <c r="A5" s="3" t="s">
        <v>15</v>
      </c>
      <c r="B5" s="2">
        <v>2009</v>
      </c>
      <c r="C5" s="2" t="s">
        <v>16</v>
      </c>
      <c r="D5" s="2">
        <f t="shared" si="0"/>
        <v>2</v>
      </c>
      <c r="E5" s="2" t="s">
        <v>14</v>
      </c>
      <c r="F5" s="2"/>
      <c r="G5" s="2">
        <v>102</v>
      </c>
      <c r="H5" s="2">
        <v>101</v>
      </c>
      <c r="I5" s="2"/>
      <c r="J5" s="2"/>
      <c r="K5" s="2" t="s">
        <v>17</v>
      </c>
    </row>
    <row r="6" spans="1:11" ht="18">
      <c r="A6" s="3" t="s">
        <v>18</v>
      </c>
      <c r="B6" s="2">
        <v>2007</v>
      </c>
      <c r="C6" s="2" t="s">
        <v>16</v>
      </c>
      <c r="D6" s="2">
        <f t="shared" si="0"/>
        <v>2</v>
      </c>
      <c r="E6" s="2" t="s">
        <v>14</v>
      </c>
      <c r="F6" s="2"/>
      <c r="G6" s="2">
        <v>102</v>
      </c>
      <c r="H6" s="2">
        <v>101</v>
      </c>
      <c r="I6" s="2"/>
      <c r="J6" s="2"/>
      <c r="K6" s="2" t="s">
        <v>19</v>
      </c>
    </row>
    <row r="7" spans="1:11" ht="18">
      <c r="A7" s="3" t="s">
        <v>20</v>
      </c>
      <c r="B7" s="2">
        <v>2021</v>
      </c>
      <c r="C7" s="2" t="s">
        <v>13</v>
      </c>
      <c r="D7" s="2">
        <f t="shared" si="0"/>
        <v>6</v>
      </c>
      <c r="E7" s="2" t="s">
        <v>16</v>
      </c>
      <c r="F7" s="2"/>
      <c r="G7" s="2">
        <v>36</v>
      </c>
      <c r="H7" s="2">
        <v>35</v>
      </c>
      <c r="I7" s="2">
        <v>56</v>
      </c>
      <c r="J7" s="2">
        <v>49</v>
      </c>
      <c r="K7" s="2" t="s">
        <v>11</v>
      </c>
    </row>
    <row r="8" spans="1:11" ht="18">
      <c r="A8" s="3" t="s">
        <v>21</v>
      </c>
      <c r="B8" s="2">
        <v>2019</v>
      </c>
      <c r="C8" s="2" t="s">
        <v>13</v>
      </c>
      <c r="D8" s="2">
        <f t="shared" si="0"/>
        <v>6</v>
      </c>
      <c r="E8" s="2" t="s">
        <v>22</v>
      </c>
      <c r="F8" s="2"/>
      <c r="G8" s="2">
        <v>563</v>
      </c>
      <c r="H8" s="2">
        <v>562</v>
      </c>
      <c r="I8" s="2">
        <v>51.7</v>
      </c>
      <c r="J8" s="2">
        <v>52.8</v>
      </c>
      <c r="K8" s="2" t="s">
        <v>11</v>
      </c>
    </row>
    <row r="9" spans="1:11" ht="18">
      <c r="A9" s="3" t="s">
        <v>23</v>
      </c>
      <c r="B9" s="2">
        <v>2000</v>
      </c>
      <c r="C9" s="2" t="s">
        <v>24</v>
      </c>
      <c r="D9" s="2">
        <f t="shared" si="0"/>
        <v>4</v>
      </c>
      <c r="E9" s="2" t="s">
        <v>14</v>
      </c>
      <c r="F9" s="2"/>
      <c r="G9" s="2">
        <v>152</v>
      </c>
      <c r="H9" s="2">
        <v>151</v>
      </c>
      <c r="I9" s="2"/>
      <c r="J9" s="2"/>
      <c r="K9" s="2" t="s">
        <v>17</v>
      </c>
    </row>
    <row r="10" spans="1:11" ht="18">
      <c r="A10" s="3" t="s">
        <v>25</v>
      </c>
      <c r="B10" s="2">
        <v>2019</v>
      </c>
      <c r="C10" s="2" t="s">
        <v>26</v>
      </c>
      <c r="D10" s="2">
        <f t="shared" si="0"/>
        <v>7</v>
      </c>
      <c r="E10" s="2" t="s">
        <v>14</v>
      </c>
      <c r="F10" s="2"/>
      <c r="G10" s="2">
        <v>597</v>
      </c>
      <c r="H10" s="2">
        <v>602</v>
      </c>
      <c r="I10" s="2">
        <v>81.599999999999994</v>
      </c>
      <c r="J10" s="2">
        <v>77.7</v>
      </c>
      <c r="K10" s="2" t="s">
        <v>17</v>
      </c>
    </row>
    <row r="11" spans="1:11" ht="18">
      <c r="A11" s="3" t="s">
        <v>27</v>
      </c>
      <c r="B11" s="2">
        <v>2022</v>
      </c>
      <c r="C11" s="2" t="s">
        <v>28</v>
      </c>
      <c r="D11" s="2">
        <f t="shared" si="0"/>
        <v>8</v>
      </c>
      <c r="E11" s="2" t="s">
        <v>10</v>
      </c>
      <c r="F11" s="2"/>
      <c r="G11" s="2">
        <v>583</v>
      </c>
      <c r="H11" s="2">
        <v>589</v>
      </c>
      <c r="I11" s="2">
        <v>57</v>
      </c>
      <c r="J11" s="2">
        <v>57</v>
      </c>
      <c r="K11" s="2" t="s">
        <v>11</v>
      </c>
    </row>
    <row r="12" spans="1:11" ht="18">
      <c r="A12" s="3" t="s">
        <v>29</v>
      </c>
      <c r="B12" s="2">
        <v>2022</v>
      </c>
      <c r="C12" s="2" t="s">
        <v>30</v>
      </c>
      <c r="D12" s="2">
        <f t="shared" si="0"/>
        <v>9</v>
      </c>
      <c r="E12" s="2" t="s">
        <v>16</v>
      </c>
      <c r="F12" s="2"/>
      <c r="G12" s="2">
        <v>326</v>
      </c>
      <c r="H12" s="2">
        <v>328</v>
      </c>
      <c r="I12" s="2">
        <v>100</v>
      </c>
      <c r="J12" s="2">
        <v>100</v>
      </c>
      <c r="K12" s="2" t="s">
        <v>11</v>
      </c>
    </row>
    <row r="13" spans="1:11" ht="18">
      <c r="A13" s="3" t="s">
        <v>31</v>
      </c>
      <c r="B13" s="2">
        <v>2021</v>
      </c>
      <c r="C13" s="2" t="s">
        <v>32</v>
      </c>
      <c r="D13" s="2">
        <f t="shared" si="0"/>
        <v>10</v>
      </c>
      <c r="E13" s="2" t="s">
        <v>14</v>
      </c>
      <c r="F13" s="2"/>
      <c r="G13" s="2">
        <v>525</v>
      </c>
      <c r="H13" s="2">
        <v>527</v>
      </c>
      <c r="I13" s="2">
        <v>61.9</v>
      </c>
      <c r="J13" s="2">
        <v>63.6</v>
      </c>
      <c r="K13" s="2" t="s">
        <v>11</v>
      </c>
    </row>
    <row r="14" spans="1:11" ht="18">
      <c r="A14" s="3" t="s">
        <v>33</v>
      </c>
      <c r="B14" s="2">
        <v>1997</v>
      </c>
      <c r="C14" s="2" t="s">
        <v>16</v>
      </c>
      <c r="D14" s="2">
        <f t="shared" si="0"/>
        <v>2</v>
      </c>
      <c r="E14" s="2" t="s">
        <v>24</v>
      </c>
      <c r="F14" s="2"/>
      <c r="G14" s="2">
        <v>404</v>
      </c>
      <c r="H14" s="2">
        <v>409</v>
      </c>
      <c r="I14" s="2"/>
      <c r="J14" s="2"/>
      <c r="K14" s="2" t="s">
        <v>11</v>
      </c>
    </row>
    <row r="15" spans="1:11" ht="18">
      <c r="A15" s="3" t="s">
        <v>34</v>
      </c>
      <c r="B15" s="2">
        <v>1998</v>
      </c>
      <c r="C15" s="2" t="s">
        <v>24</v>
      </c>
      <c r="D15" s="2">
        <f t="shared" si="0"/>
        <v>4</v>
      </c>
      <c r="E15" s="2" t="s">
        <v>14</v>
      </c>
      <c r="F15" s="2"/>
      <c r="G15" s="2">
        <v>698</v>
      </c>
      <c r="H15" s="2">
        <v>687</v>
      </c>
      <c r="I15" s="2"/>
      <c r="J15" s="2"/>
      <c r="K15" s="2" t="s">
        <v>17</v>
      </c>
    </row>
    <row r="16" spans="1:11" ht="18">
      <c r="A16" s="3" t="s">
        <v>35</v>
      </c>
      <c r="B16" s="2">
        <v>2021</v>
      </c>
      <c r="C16" s="2" t="s">
        <v>36</v>
      </c>
      <c r="D16" s="2" t="e">
        <f t="shared" ref="D16" si="1">INDEX(D$26:D$37, MATCH(C16, E$26:E$37, 0))</f>
        <v>#N/A</v>
      </c>
      <c r="E16" s="2" t="s">
        <v>16</v>
      </c>
      <c r="F16" s="2"/>
      <c r="G16" s="2">
        <v>36</v>
      </c>
      <c r="H16" s="2">
        <v>39</v>
      </c>
      <c r="I16" s="2">
        <v>50</v>
      </c>
      <c r="J16" s="2">
        <v>59</v>
      </c>
      <c r="K16" s="2" t="s">
        <v>19</v>
      </c>
    </row>
    <row r="17" spans="1:12" ht="18">
      <c r="A17" s="3" t="s">
        <v>37</v>
      </c>
      <c r="B17" s="2">
        <v>2002</v>
      </c>
      <c r="C17" s="2" t="s">
        <v>38</v>
      </c>
      <c r="D17" s="2">
        <f>INDEX(D$26:D$37, MATCH(C17, E$26:E$37, 0))</f>
        <v>11</v>
      </c>
      <c r="E17" s="2" t="s">
        <v>14</v>
      </c>
      <c r="F17" s="2"/>
      <c r="G17" s="2">
        <v>225</v>
      </c>
      <c r="H17" s="2">
        <v>232</v>
      </c>
      <c r="I17" s="2"/>
      <c r="J17" s="2"/>
      <c r="K17" s="2" t="s">
        <v>11</v>
      </c>
    </row>
    <row r="18" spans="1:12" ht="18">
      <c r="A18" s="3" t="s">
        <v>39</v>
      </c>
      <c r="B18" s="2">
        <v>2022</v>
      </c>
      <c r="C18" s="2" t="s">
        <v>40</v>
      </c>
      <c r="D18" s="2">
        <f>INDEX(D$26:D$37, MATCH(C18, E$26:E$37, 0))</f>
        <v>12</v>
      </c>
      <c r="E18" s="2" t="s">
        <v>16</v>
      </c>
      <c r="F18" s="2"/>
      <c r="G18" s="2">
        <v>638</v>
      </c>
      <c r="H18" s="2">
        <v>641</v>
      </c>
      <c r="I18" s="2">
        <v>49</v>
      </c>
      <c r="J18" s="2">
        <v>49</v>
      </c>
      <c r="K18" s="2" t="s">
        <v>11</v>
      </c>
    </row>
    <row r="19" spans="1:12" ht="18">
      <c r="A19" s="3" t="s">
        <v>41</v>
      </c>
      <c r="B19" s="2">
        <v>2021</v>
      </c>
      <c r="C19" s="2" t="s">
        <v>42</v>
      </c>
      <c r="D19" s="2" t="e">
        <f>INDEX(D$26:D$37, MATCH(C19, E$26:E$37, 0))</f>
        <v>#N/A</v>
      </c>
      <c r="E19" s="2" t="s">
        <v>16</v>
      </c>
      <c r="F19" s="2"/>
      <c r="G19" s="2">
        <v>40</v>
      </c>
      <c r="H19" s="2">
        <v>20</v>
      </c>
      <c r="I19" s="2"/>
      <c r="J19" s="2"/>
      <c r="K19" s="2" t="s">
        <v>19</v>
      </c>
    </row>
    <row r="20" spans="1:12" ht="18">
      <c r="A20" s="3" t="s">
        <v>43</v>
      </c>
      <c r="B20" s="2">
        <v>2022</v>
      </c>
      <c r="C20" s="2" t="s">
        <v>26</v>
      </c>
      <c r="D20" s="2">
        <f>INDEX(D$26:D$37, MATCH(C20, E$26:E$37, 0))</f>
        <v>7</v>
      </c>
      <c r="E20" s="2" t="s">
        <v>14</v>
      </c>
      <c r="F20" s="2"/>
      <c r="G20" s="2">
        <v>501</v>
      </c>
      <c r="H20" s="2">
        <v>502</v>
      </c>
      <c r="I20" s="2">
        <v>48.7</v>
      </c>
      <c r="J20" s="2">
        <v>51.3</v>
      </c>
      <c r="K20" s="2" t="s">
        <v>11</v>
      </c>
    </row>
    <row r="23" spans="1:12">
      <c r="L23" t="str" cm="1">
        <f t="array" ref="L23:L37">_xlfn.UNIQUE(_xlfn.VSTACK(E3:E20, C3:C20))</f>
        <v>ADT + Docetaxel</v>
      </c>
    </row>
    <row r="24" spans="1:12">
      <c r="L24" t="str">
        <v>ADT</v>
      </c>
    </row>
    <row r="25" spans="1:12">
      <c r="L25" t="str">
        <v>ADT + Bicalutamide</v>
      </c>
    </row>
    <row r="26" spans="1:12">
      <c r="D26">
        <v>1</v>
      </c>
      <c r="E26" s="4" t="s">
        <v>14</v>
      </c>
      <c r="F26" s="4"/>
      <c r="L26" t="str">
        <v>ADT + Bicalutamide, Nilutamide, Flutamide</v>
      </c>
    </row>
    <row r="27" spans="1:12">
      <c r="D27">
        <v>2</v>
      </c>
      <c r="E27" s="4" t="s">
        <v>16</v>
      </c>
      <c r="F27" s="4"/>
      <c r="L27" t="str">
        <v>ADT + Flutamide</v>
      </c>
    </row>
    <row r="28" spans="1:12">
      <c r="D28">
        <v>3</v>
      </c>
      <c r="E28" s="4" t="s">
        <v>22</v>
      </c>
      <c r="F28" s="4"/>
      <c r="L28" t="str">
        <v>ADT + Darolutamide + Docetaxel</v>
      </c>
    </row>
    <row r="29" spans="1:12">
      <c r="D29">
        <v>4</v>
      </c>
      <c r="E29" s="4" t="s">
        <v>24</v>
      </c>
      <c r="F29" s="4"/>
      <c r="L29" t="str">
        <v>ADT + Enzalutamide</v>
      </c>
    </row>
    <row r="30" spans="1:12">
      <c r="D30">
        <v>5</v>
      </c>
      <c r="E30" s="4" t="s">
        <v>9</v>
      </c>
      <c r="F30" s="4"/>
      <c r="L30" t="str">
        <v>ADT + Abiraterone</v>
      </c>
    </row>
    <row r="31" spans="1:12">
      <c r="D31">
        <v>6</v>
      </c>
      <c r="E31" s="4" t="s">
        <v>13</v>
      </c>
      <c r="F31" s="4"/>
      <c r="L31" t="str">
        <v>ADT + Abiraterone + Docetaxel</v>
      </c>
    </row>
    <row r="32" spans="1:12">
      <c r="D32">
        <v>7</v>
      </c>
      <c r="E32" s="4" t="s">
        <v>26</v>
      </c>
      <c r="F32" s="4"/>
      <c r="L32" t="str">
        <v>ADT + Rezvilutamide</v>
      </c>
    </row>
    <row r="33" spans="4:12">
      <c r="D33">
        <v>8</v>
      </c>
      <c r="E33" s="4" t="s">
        <v>28</v>
      </c>
      <c r="F33" s="4"/>
      <c r="L33" t="str">
        <v>ADT + Apalutamide</v>
      </c>
    </row>
    <row r="34" spans="4:12">
      <c r="D34">
        <v>9</v>
      </c>
      <c r="E34" s="4" t="s">
        <v>30</v>
      </c>
      <c r="F34" s="4"/>
      <c r="L34" t="str">
        <v>ADT + Metformin + Bicalutamide</v>
      </c>
    </row>
    <row r="35" spans="4:12">
      <c r="D35">
        <v>10</v>
      </c>
      <c r="E35" s="4" t="s">
        <v>32</v>
      </c>
      <c r="F35" s="4"/>
      <c r="L35" t="str">
        <v>ADT + Nilutamide</v>
      </c>
    </row>
    <row r="36" spans="4:12">
      <c r="D36">
        <v>11</v>
      </c>
      <c r="E36" s="4" t="s">
        <v>38</v>
      </c>
      <c r="F36" s="4"/>
      <c r="L36" t="str">
        <v>ADT + Orteronel</v>
      </c>
    </row>
    <row r="37" spans="4:12">
      <c r="D37">
        <v>12</v>
      </c>
      <c r="E37" s="4" t="s">
        <v>40</v>
      </c>
      <c r="F37" s="4"/>
      <c r="L37" t="str">
        <v>ADT + Bicalutamide + Palbociclib</v>
      </c>
    </row>
  </sheetData>
  <phoneticPr fontId="5" type="noConversion"/>
  <hyperlinks>
    <hyperlink ref="A4" r:id="rId1" location="bib22" display="https://www.sciencedirect.com/science/article/pii/S2287888223000338?via%3Dihub - bib22" xr:uid="{24E4AC7B-2495-F641-8B85-4E008ABB8054}"/>
    <hyperlink ref="A5" r:id="rId2" location="bib14" display="https://www.sciencedirect.com/science/article/pii/S2287888223000338?via%3Dihub - bib14" xr:uid="{A1E4CE5F-C319-8E4F-8013-1EA723AE6151}"/>
    <hyperlink ref="A7" r:id="rId3" location="bib23" display="https://www.sciencedirect.com/science/article/pii/S2287888223000338?via%3Dihub - bib23" xr:uid="{BBA26725-DE31-3440-8184-27D3D32FC5B4}"/>
    <hyperlink ref="A8" r:id="rId4" location="bib24" display="https://www.sciencedirect.com/science/article/pii/S2287888223000338?via%3Dihub - bib24" xr:uid="{73DDAE45-CA5E-7D4A-8475-952A35D8808E}"/>
    <hyperlink ref="A9" r:id="rId5" location="bib16" display="https://www.sciencedirect.com/science/article/pii/S2287888223000338?via%3Dihub - bib16" xr:uid="{E77A3616-E875-054F-8859-8E5C895339C6}"/>
    <hyperlink ref="A10" r:id="rId6" location="bib25" display="https://www.sciencedirect.com/science/article/pii/S2287888223000338?via%3Dihub - bib25" xr:uid="{27817A77-04EB-6C4F-B9F4-E6BCEB62D48C}"/>
    <hyperlink ref="A12" r:id="rId7" location="bib26" display="https://www.sciencedirect.com/science/article/pii/S2287888223000338?via%3Dihub - bib26" xr:uid="{E3FBD299-56AD-D348-A8F9-F2B7EE42DD96}"/>
    <hyperlink ref="A13" r:id="rId8" location="bib27" display="https://www.sciencedirect.com/science/article/pii/S2287888223000338?via%3Dihub - bib27" xr:uid="{BD2E83B9-A336-3F47-B3E9-82B687EAF924}"/>
    <hyperlink ref="A14" r:id="rId9" location="bib17" display="https://www.sciencedirect.com/science/article/pii/S2287888223000338?via%3Dihub - bib17" xr:uid="{435CD8C8-C66E-534C-B815-AC039F9BB08F}"/>
    <hyperlink ref="A15" r:id="rId10" location="bib18" display="https://www.sciencedirect.com/science/article/pii/S2287888223000338?via%3Dihub - bib18" xr:uid="{561B13D9-5CFF-2E4B-A485-3FB1AE00BE19}"/>
    <hyperlink ref="A17" r:id="rId11" location="bib19" display="https://www.sciencedirect.com/science/article/pii/S2287888223000338?via%3Dihub - bib19" xr:uid="{AB3F451E-8D9E-3F41-AD7F-47A89277DED3}"/>
    <hyperlink ref="A18" r:id="rId12" location="bib28" display="https://www.sciencedirect.com/science/article/pii/S2287888223000338?via%3Dihub - bib28" xr:uid="{8736F328-790D-3E49-8E39-6571E58F9B86}"/>
    <hyperlink ref="A20" r:id="rId13" location="bib29" display="https://www.sciencedirect.com/science/article/pii/S2287888223000338?via%3Dihub - bib29" xr:uid="{8D254D32-9942-294C-A7AB-390A52D7345F}"/>
    <hyperlink ref="A6" r:id="rId14" location="bib15" display="https://www.sciencedirect.com/science/article/pii/S2287888223000338?via%3Dihub - bib15" xr:uid="{CC427322-D275-BD4F-A962-88481A3749AD}"/>
    <hyperlink ref="A3" r:id="rId15" location="bib10" display="https://www.sciencedirect.com/science/article/pii/S2287888223000338?via%3Dihub - bib10" xr:uid="{A87A98AC-7893-284F-B89F-1092798EFF64}"/>
    <hyperlink ref="A11" r:id="rId16" location="bib9" display="https://www.sciencedirect.com/science/article/pii/S2287888223000338?via%3Dihub - bib9" xr:uid="{2A89222B-67E6-BD4F-97BE-99D5931E8149}"/>
    <hyperlink ref="A19" r:id="rId17" location="bib20" display="https://www.sciencedirect.com/science/article/pii/S2287888223000338?via%3Dihub - bib20" xr:uid="{3FFFB445-A621-BF40-9DAE-A5049DFE1EAE}"/>
    <hyperlink ref="A16" r:id="rId18" location="bib21" display="https://www.sciencedirect.com/science/article/pii/S2287888223000338?via%3Dihub - bib21" xr:uid="{A045DBBF-7D6E-904D-B5EA-E88EE65CCC1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33</vt:i4>
      </vt:variant>
    </vt:vector>
  </HeadingPairs>
  <TitlesOfParts>
    <vt:vector size="36" baseType="lpstr">
      <vt:lpstr>Sheet2</vt:lpstr>
      <vt:lpstr>Sheet1 (2)</vt:lpstr>
      <vt:lpstr>Sheet1</vt:lpstr>
      <vt:lpstr>Sheet1!bbib10</vt:lpstr>
      <vt:lpstr>'Sheet1 (2)'!bbib10</vt:lpstr>
      <vt:lpstr>Sheet1!bbib14</vt:lpstr>
      <vt:lpstr>'Sheet1 (2)'!bbib14</vt:lpstr>
      <vt:lpstr>Sheet1!bbib15</vt:lpstr>
      <vt:lpstr>Sheet1!bbib16</vt:lpstr>
      <vt:lpstr>'Sheet1 (2)'!bbib16</vt:lpstr>
      <vt:lpstr>Sheet1!bbib17</vt:lpstr>
      <vt:lpstr>'Sheet1 (2)'!bbib17</vt:lpstr>
      <vt:lpstr>Sheet1!bbib18</vt:lpstr>
      <vt:lpstr>'Sheet1 (2)'!bbib18</vt:lpstr>
      <vt:lpstr>Sheet1!bbib19</vt:lpstr>
      <vt:lpstr>'Sheet1 (2)'!bbib19</vt:lpstr>
      <vt:lpstr>Sheet1!bbib20</vt:lpstr>
      <vt:lpstr>Sheet1!bbib21</vt:lpstr>
      <vt:lpstr>Sheet1!bbib22</vt:lpstr>
      <vt:lpstr>'Sheet1 (2)'!bbib22</vt:lpstr>
      <vt:lpstr>Sheet1!bbib23</vt:lpstr>
      <vt:lpstr>'Sheet1 (2)'!bbib23</vt:lpstr>
      <vt:lpstr>Sheet1!bbib24</vt:lpstr>
      <vt:lpstr>'Sheet1 (2)'!bbib24</vt:lpstr>
      <vt:lpstr>Sheet1!bbib25</vt:lpstr>
      <vt:lpstr>'Sheet1 (2)'!bbib25</vt:lpstr>
      <vt:lpstr>Sheet1!bbib26</vt:lpstr>
      <vt:lpstr>'Sheet1 (2)'!bbib26</vt:lpstr>
      <vt:lpstr>Sheet1!bbib27</vt:lpstr>
      <vt:lpstr>'Sheet1 (2)'!bbib27</vt:lpstr>
      <vt:lpstr>Sheet1!bbib28</vt:lpstr>
      <vt:lpstr>'Sheet1 (2)'!bbib28</vt:lpstr>
      <vt:lpstr>Sheet1!bbib29</vt:lpstr>
      <vt:lpstr>'Sheet1 (2)'!bbib29</vt:lpstr>
      <vt:lpstr>Sheet1!bbib9</vt:lpstr>
      <vt:lpstr>'Sheet1 (2)'!bbib9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Xinrui Shi</dc:creator>
  <cp:lastModifiedBy>Xinrui Shi</cp:lastModifiedBy>
  <dcterms:created xsi:type="dcterms:W3CDTF">2025-04-09T16:58:08Z</dcterms:created>
  <dcterms:modified xsi:type="dcterms:W3CDTF">2026-03-07T00:35:20Z</dcterms:modified>
</cp:coreProperties>
</file>