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E72E23C1-132C-5543-A8B7-7ABF721ADDB2}" xr6:coauthVersionLast="47" xr6:coauthVersionMax="47" xr10:uidLastSave="{00000000-0000-0000-0000-000000000000}"/>
  <bookViews>
    <workbookView xWindow="0" yWindow="740" windowWidth="30240" windowHeight="18900" xr2:uid="{A56A44DE-3DEF-3943-AD38-AAFF894FA21C}"/>
  </bookViews>
  <sheets>
    <sheet name="Sheet1" sheetId="1" r:id="rId1"/>
  </sheets>
  <definedNames>
    <definedName name="_xlnm._FilterDatabase" localSheetId="0" hidden="1">Sheet1!$D$1:$D$150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C16" i="1"/>
  <c r="C17" i="1" s="1"/>
  <c r="C18" i="1"/>
  <c r="C19" i="1" s="1"/>
  <c r="C20" i="1"/>
  <c r="C21" i="1" s="1"/>
  <c r="C22" i="1"/>
  <c r="C23" i="1" s="1"/>
  <c r="C24" i="1" s="1"/>
  <c r="C25" i="1" s="1"/>
  <c r="C26" i="1"/>
  <c r="C27" i="1"/>
  <c r="C28" i="1"/>
  <c r="C29" i="1" s="1"/>
  <c r="C30" i="1"/>
  <c r="C31" i="1" s="1"/>
  <c r="C32" i="1" s="1"/>
  <c r="C33" i="1"/>
  <c r="C34" i="1" s="1"/>
  <c r="C35" i="1"/>
  <c r="C36" i="1"/>
  <c r="C37" i="1"/>
  <c r="C38" i="1"/>
  <c r="C39" i="1"/>
  <c r="C40" i="1" s="1"/>
  <c r="C41" i="1"/>
  <c r="C42" i="1" s="1"/>
  <c r="C43" i="1" s="1"/>
  <c r="C44" i="1"/>
  <c r="C45" i="1" s="1"/>
  <c r="C46" i="1" s="1"/>
  <c r="C47" i="1"/>
  <c r="C48" i="1"/>
  <c r="C49" i="1"/>
  <c r="C50" i="1"/>
  <c r="C51" i="1"/>
  <c r="C52" i="1" s="1"/>
  <c r="C53" i="1"/>
  <c r="C54" i="1" s="1"/>
  <c r="C55" i="1"/>
  <c r="C56" i="1"/>
  <c r="C57" i="1"/>
  <c r="C58" i="1"/>
  <c r="C59" i="1"/>
  <c r="C60" i="1"/>
  <c r="C61" i="1"/>
  <c r="C62" i="1" s="1"/>
  <c r="C63" i="1"/>
  <c r="C64" i="1" s="1"/>
  <c r="C65" i="1"/>
  <c r="C66" i="1" s="1"/>
  <c r="C67" i="1"/>
  <c r="C68" i="1"/>
  <c r="C69" i="1"/>
  <c r="C70" i="1"/>
  <c r="C71" i="1"/>
  <c r="C72" i="1"/>
  <c r="C73" i="1"/>
  <c r="C74" i="1" s="1"/>
  <c r="C75" i="1"/>
  <c r="C76" i="1" s="1"/>
  <c r="C77" i="1"/>
  <c r="C78" i="1"/>
  <c r="C79" i="1"/>
  <c r="C80" i="1"/>
  <c r="C81" i="1"/>
  <c r="C82" i="1"/>
  <c r="C83" i="1"/>
  <c r="C84" i="1" s="1"/>
  <c r="C85" i="1"/>
  <c r="C86" i="1" s="1"/>
  <c r="C87" i="1"/>
  <c r="C88" i="1" s="1"/>
  <c r="C89" i="1"/>
  <c r="C90" i="1"/>
  <c r="C91" i="1"/>
  <c r="C92" i="1"/>
  <c r="C93" i="1"/>
  <c r="C94" i="1" s="1"/>
  <c r="C95" i="1"/>
  <c r="C96" i="1" s="1"/>
  <c r="C97" i="1"/>
  <c r="C98" i="1" s="1"/>
  <c r="C99" i="1"/>
  <c r="C100" i="1"/>
  <c r="C101" i="1"/>
  <c r="C102" i="1"/>
  <c r="C103" i="1"/>
  <c r="C104" i="1" s="1"/>
  <c r="C105" i="1"/>
  <c r="C106" i="1" s="1"/>
  <c r="C107" i="1"/>
  <c r="C108" i="1" s="1"/>
  <c r="C109" i="1"/>
  <c r="C110" i="1" s="1"/>
  <c r="C111" i="1"/>
  <c r="C112" i="1"/>
  <c r="C113" i="1"/>
  <c r="C114" i="1" s="1"/>
  <c r="C115" i="1"/>
  <c r="C116" i="1" s="1"/>
  <c r="C117" i="1"/>
  <c r="C118" i="1"/>
  <c r="C119" i="1"/>
  <c r="C120" i="1" s="1"/>
  <c r="C121" i="1"/>
  <c r="C122" i="1" s="1"/>
  <c r="C123" i="1"/>
  <c r="C124" i="1" s="1"/>
  <c r="C125" i="1"/>
  <c r="C126" i="1" s="1"/>
  <c r="C127" i="1"/>
  <c r="C128" i="1"/>
  <c r="C129" i="1"/>
  <c r="C130" i="1"/>
  <c r="C131" i="1"/>
  <c r="C132" i="1" s="1"/>
  <c r="C133" i="1"/>
  <c r="C134" i="1" s="1"/>
  <c r="C135" i="1"/>
  <c r="C136" i="1" s="1"/>
  <c r="C137" i="1"/>
  <c r="C138" i="1"/>
  <c r="C139" i="1"/>
  <c r="C140" i="1"/>
  <c r="C141" i="1"/>
  <c r="C142" i="1"/>
  <c r="C143" i="1"/>
  <c r="C144" i="1" s="1"/>
  <c r="C145" i="1"/>
  <c r="C146" i="1" s="1"/>
  <c r="C147" i="1"/>
  <c r="C148" i="1" s="1"/>
  <c r="C149" i="1"/>
  <c r="C150" i="1"/>
  <c r="C3" i="1"/>
  <c r="C4" i="1"/>
  <c r="C5" i="1" s="1"/>
  <c r="C6" i="1"/>
  <c r="C7" i="1" s="1"/>
  <c r="C8" i="1"/>
  <c r="C9" i="1" s="1"/>
  <c r="C10" i="1"/>
  <c r="C11" i="1" s="1"/>
  <c r="C12" i="1"/>
  <c r="C13" i="1" s="1"/>
  <c r="C2" i="1"/>
  <c r="A49" i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6" i="1"/>
  <c r="A17" i="1" s="1"/>
  <c r="A18" i="1" s="1"/>
  <c r="A19" i="1" s="1"/>
  <c r="A20" i="1" s="1"/>
  <c r="A21" i="1" s="1"/>
  <c r="A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<sst xmlns="http://schemas.openxmlformats.org/spreadsheetml/2006/main" count="86" uniqueCount="85">
  <si>
    <t>Escudero, 2004</t>
  </si>
  <si>
    <t>Hossein, 2015</t>
  </si>
  <si>
    <t>Kolibianakis, 2011</t>
  </si>
  <si>
    <t>Ludwig, 2002</t>
  </si>
  <si>
    <t>Luo, 2021</t>
  </si>
  <si>
    <t>Mochtar, 2004</t>
  </si>
  <si>
    <t xml:space="preserve">Andersen, 2011 </t>
  </si>
  <si>
    <t>Blockeel, 2012</t>
  </si>
  <si>
    <t>Cedrin-Durnerin, 2012</t>
  </si>
  <si>
    <t>Cedrin-Durnerin, 2007</t>
  </si>
  <si>
    <t>Erdem, 2015</t>
  </si>
  <si>
    <t>Fanchin, 2003</t>
  </si>
  <si>
    <t>Fernandez-Prada, 2021</t>
  </si>
  <si>
    <t xml:space="preserve">Hauzman, 2013 </t>
  </si>
  <si>
    <t>Huirne, 2006</t>
  </si>
  <si>
    <t>Kim, 2011</t>
  </si>
  <si>
    <t>Kolibianakis, 2006</t>
  </si>
  <si>
    <t>Shahrokh Tehrani   , 2018</t>
  </si>
  <si>
    <t>Rombauts, 2006</t>
  </si>
  <si>
    <t>Vilela, 2011</t>
  </si>
  <si>
    <t>Albano, 2000</t>
  </si>
  <si>
    <t>Agonist</t>
  </si>
  <si>
    <t>Al-Karaki, 2011</t>
  </si>
  <si>
    <t>Aydin, 2014</t>
  </si>
  <si>
    <t>Baart, 2007</t>
  </si>
  <si>
    <t>Badrawi, 2005</t>
  </si>
  <si>
    <t>Bahceci, 2005</t>
  </si>
  <si>
    <t>Barmat, 2005</t>
  </si>
  <si>
    <t>Batzofin, 2002</t>
  </si>
  <si>
    <t>Borm, 2000</t>
  </si>
  <si>
    <t>Check, 2004</t>
  </si>
  <si>
    <t>Cheung, 2005</t>
  </si>
  <si>
    <t>Cota, 2012</t>
  </si>
  <si>
    <t>Ferrari, 2006</t>
  </si>
  <si>
    <t>Firouzabadi, 2010</t>
  </si>
  <si>
    <t>Fluker, 2001</t>
  </si>
  <si>
    <t>Fornaro, 2007</t>
  </si>
  <si>
    <t>Friedler, 2006</t>
  </si>
  <si>
    <t>Garcia-Velasco, 2011</t>
  </si>
  <si>
    <t>Haydardedeoglu, 2012</t>
  </si>
  <si>
    <t>Hosseini, 2010</t>
  </si>
  <si>
    <t>Karabacak, 2006</t>
  </si>
  <si>
    <t>Klement, 2015</t>
  </si>
  <si>
    <t>Kurzawa, 2008</t>
  </si>
  <si>
    <t>Lainas, 2010</t>
  </si>
  <si>
    <t>Lee, 2004</t>
  </si>
  <si>
    <t>Lee, 2005</t>
  </si>
  <si>
    <t>Loutradis, 2004</t>
  </si>
  <si>
    <t>Marci, 2005</t>
  </si>
  <si>
    <t>Mokhtar, 2015</t>
  </si>
  <si>
    <t>Moraloglu, 2008</t>
  </si>
  <si>
    <t>Pabuccu, 2007</t>
  </si>
  <si>
    <t>Papanikolaou, 2012</t>
  </si>
  <si>
    <t>Prapas, 2013</t>
  </si>
  <si>
    <t>Qiao, 2012</t>
  </si>
  <si>
    <t>Rabati &amp; Zeidi, 2012</t>
  </si>
  <si>
    <t>Sbracia, 2009</t>
  </si>
  <si>
    <t>Serafini, 2006</t>
  </si>
  <si>
    <t>Shin, 2018</t>
  </si>
  <si>
    <t>Sonntag, 2004</t>
  </si>
  <si>
    <t>Sunkara, 2014</t>
  </si>
  <si>
    <t>Tazegul, 2008</t>
  </si>
  <si>
    <t>Tehraninejad, 2009</t>
  </si>
  <si>
    <t>Tehraninejad, 2010</t>
  </si>
  <si>
    <t>Tehraninejad, 2011</t>
  </si>
  <si>
    <t>Trenkic, 2016</t>
  </si>
  <si>
    <t>van Hooren, 2001</t>
  </si>
  <si>
    <t>Verpoest, 2017</t>
  </si>
  <si>
    <t>Xavier, 2005</t>
  </si>
  <si>
    <t>Xu, 2020</t>
  </si>
  <si>
    <t>Ye, 2009</t>
  </si>
  <si>
    <t>Fixed</t>
  </si>
  <si>
    <t>Flexible</t>
  </si>
  <si>
    <t>Fixed-E2</t>
  </si>
  <si>
    <t xml:space="preserve">Fixed-OCP </t>
  </si>
  <si>
    <t>Flexible-E2</t>
  </si>
  <si>
    <t xml:space="preserve">Flexible-OCP </t>
  </si>
  <si>
    <t>Fixed-P</t>
    <phoneticPr fontId="3" type="noConversion"/>
  </si>
  <si>
    <t>Flexible-P</t>
    <phoneticPr fontId="3" type="noConversion"/>
  </si>
  <si>
    <t>t</t>
    <phoneticPr fontId="3" type="noConversion"/>
  </si>
  <si>
    <t>n</t>
    <phoneticPr fontId="3" type="noConversion"/>
  </si>
  <si>
    <t>StudyID</t>
    <phoneticPr fontId="3" type="noConversion"/>
  </si>
  <si>
    <t>StudyName</t>
    <phoneticPr fontId="3" type="noConversion"/>
  </si>
  <si>
    <t>Depalo, 2018</t>
    <phoneticPr fontId="3" type="noConversion"/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</si>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</sst>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6"/>
      <color rgb="FF000000"/>
      <name val="Times New Roman"/>
      <family val="1"/>
    </font>
    <font>
      <sz val="6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B73F-E896-0D4C-9345-F12F0F5E041A}">
  <dimension ref="A1:H150"/>
  <sheetViews>
    <sheetView tabSelected="1" zoomScale="181" zoomScaleNormal="233" workbookViewId="0">
      <selection activeCell="D11" sqref="D11"/>
    </sheetView>
  </sheetViews>
  <sheetFormatPr baseColWidth="10" defaultRowHeight="16"/>
  <cols>
    <col min="2" max="2" width="11" customWidth="1"/>
    <col min="3" max="3" width="9.5" bestFit="1" customWidth="1"/>
    <col min="4" max="4" width="10.1640625" bestFit="1" customWidth="1"/>
  </cols>
  <sheetData>
    <row r="1" spans="1:8" ht="17" thickBot="1">
      <c r="A1" t="s">
        <v>81</v>
      </c>
      <c r="B1" s="5" t="s">
        <v>82</v>
      </c>
      <c r="C1" s="5" t="s">
        <v>84</v>
      </c>
      <c r="D1" s="5" t="s">
        <v>80</v>
      </c>
      <c r="E1" t="s">
        <v>79</v>
      </c>
    </row>
    <row r="2" spans="1:8" ht="17" thickBot="1">
      <c r="A2">
        <v>1</v>
      </c>
      <c r="B2" s="3" t="s">
        <v>83</v>
      </c>
      <c r="C2" s="3">
        <f>IF(B2="",
    C1,
    IFERROR(--_xlfn.TEXTAFTER(B2,", ",-1),"")
)</f>
        <v>2018</v>
      </c>
      <c r="D2" s="2">
        <v>104</v>
      </c>
      <c r="E2" s="6">
        <v>2</v>
      </c>
      <c r="F2" s="6">
        <v>1</v>
      </c>
      <c r="G2" s="6" t="s">
        <v>21</v>
      </c>
      <c r="H2" s="6"/>
    </row>
    <row r="3" spans="1:8" ht="17" thickBot="1">
      <c r="A3">
        <f>IF(B3="",A2,A2+1)</f>
        <v>1</v>
      </c>
      <c r="B3" s="4"/>
      <c r="C3" s="3">
        <f t="shared" ref="C3:C66" si="0">IF(B3="",
    C2,
    IFERROR(--_xlfn.TEXTAFTER(B3,", ",-1),"")
)</f>
        <v>2018</v>
      </c>
      <c r="D3" s="2">
        <v>109</v>
      </c>
      <c r="E3" s="6">
        <v>6</v>
      </c>
      <c r="F3" s="6">
        <v>2</v>
      </c>
      <c r="G3" s="6" t="s">
        <v>71</v>
      </c>
      <c r="H3" s="6"/>
    </row>
    <row r="4" spans="1:8" ht="17" thickBot="1">
      <c r="A4">
        <f t="shared" ref="A4:A67" si="1">IF(B4="",A3,A3+1)</f>
        <v>2</v>
      </c>
      <c r="B4" s="3" t="s">
        <v>0</v>
      </c>
      <c r="C4" s="3">
        <f t="shared" si="0"/>
        <v>2004</v>
      </c>
      <c r="D4" s="2">
        <v>59</v>
      </c>
      <c r="E4" s="6">
        <v>2</v>
      </c>
      <c r="F4">
        <v>3</v>
      </c>
      <c r="G4" t="s">
        <v>73</v>
      </c>
    </row>
    <row r="5" spans="1:8" ht="17" thickBot="1">
      <c r="A5">
        <f t="shared" si="1"/>
        <v>2</v>
      </c>
      <c r="B5" s="4"/>
      <c r="C5" s="3">
        <f t="shared" si="0"/>
        <v>2004</v>
      </c>
      <c r="D5" s="2">
        <v>50</v>
      </c>
      <c r="E5" s="6">
        <v>6</v>
      </c>
      <c r="F5">
        <v>4</v>
      </c>
      <c r="G5" t="s">
        <v>74</v>
      </c>
    </row>
    <row r="6" spans="1:8" ht="17" thickBot="1">
      <c r="A6">
        <f t="shared" si="1"/>
        <v>3</v>
      </c>
      <c r="B6" s="3" t="s">
        <v>1</v>
      </c>
      <c r="C6" s="3">
        <f t="shared" si="0"/>
        <v>2015</v>
      </c>
      <c r="D6" s="2">
        <v>50</v>
      </c>
      <c r="E6" s="6">
        <v>2</v>
      </c>
      <c r="F6">
        <v>5</v>
      </c>
      <c r="G6" t="s">
        <v>77</v>
      </c>
    </row>
    <row r="7" spans="1:8" ht="17" thickBot="1">
      <c r="A7">
        <f t="shared" si="1"/>
        <v>3</v>
      </c>
      <c r="B7" s="4"/>
      <c r="C7" s="3">
        <f t="shared" si="0"/>
        <v>2015</v>
      </c>
      <c r="D7" s="2">
        <v>50</v>
      </c>
      <c r="E7" s="6">
        <v>6</v>
      </c>
      <c r="F7">
        <v>6</v>
      </c>
      <c r="G7" t="s">
        <v>72</v>
      </c>
    </row>
    <row r="8" spans="1:8" ht="17" thickBot="1">
      <c r="A8">
        <f t="shared" si="1"/>
        <v>4</v>
      </c>
      <c r="B8" s="3" t="s">
        <v>2</v>
      </c>
      <c r="C8" s="3">
        <f t="shared" si="0"/>
        <v>2011</v>
      </c>
      <c r="D8" s="2">
        <v>73</v>
      </c>
      <c r="E8" s="6">
        <v>2</v>
      </c>
      <c r="F8">
        <v>7</v>
      </c>
      <c r="G8" t="s">
        <v>75</v>
      </c>
    </row>
    <row r="9" spans="1:8" ht="17" thickBot="1">
      <c r="A9">
        <f t="shared" si="1"/>
        <v>4</v>
      </c>
      <c r="B9" s="4"/>
      <c r="C9" s="3">
        <f t="shared" si="0"/>
        <v>2011</v>
      </c>
      <c r="D9" s="2">
        <v>73</v>
      </c>
      <c r="E9" s="6">
        <v>6</v>
      </c>
      <c r="F9">
        <v>8</v>
      </c>
      <c r="G9" t="s">
        <v>76</v>
      </c>
    </row>
    <row r="10" spans="1:8" ht="17" thickBot="1">
      <c r="A10">
        <f t="shared" si="1"/>
        <v>5</v>
      </c>
      <c r="B10" s="3" t="s">
        <v>3</v>
      </c>
      <c r="C10" s="3">
        <f t="shared" si="0"/>
        <v>2002</v>
      </c>
      <c r="D10" s="2">
        <v>20</v>
      </c>
      <c r="E10" s="6">
        <v>2</v>
      </c>
      <c r="F10">
        <v>9</v>
      </c>
      <c r="G10" t="s">
        <v>78</v>
      </c>
    </row>
    <row r="11" spans="1:8" ht="17" thickBot="1">
      <c r="A11">
        <f t="shared" si="1"/>
        <v>5</v>
      </c>
      <c r="B11" s="4"/>
      <c r="C11" s="3">
        <f t="shared" si="0"/>
        <v>2002</v>
      </c>
      <c r="D11" s="2">
        <v>20</v>
      </c>
      <c r="E11" s="6">
        <v>6</v>
      </c>
    </row>
    <row r="12" spans="1:8" ht="17" thickBot="1">
      <c r="A12">
        <f t="shared" si="1"/>
        <v>6</v>
      </c>
      <c r="B12" s="3" t="s">
        <v>4</v>
      </c>
      <c r="C12" s="3">
        <f t="shared" si="0"/>
        <v>2021</v>
      </c>
      <c r="D12" s="2">
        <v>102</v>
      </c>
      <c r="E12" s="6">
        <v>2</v>
      </c>
    </row>
    <row r="13" spans="1:8" ht="17" thickBot="1">
      <c r="A13">
        <f t="shared" si="1"/>
        <v>6</v>
      </c>
      <c r="B13" s="1"/>
      <c r="C13" s="3">
        <f t="shared" si="0"/>
        <v>2021</v>
      </c>
      <c r="D13" s="2">
        <v>102</v>
      </c>
      <c r="E13" s="6">
        <v>6</v>
      </c>
    </row>
    <row r="14" spans="1:8" ht="17" thickBot="1">
      <c r="A14">
        <f t="shared" si="1"/>
        <v>7</v>
      </c>
      <c r="B14" s="3" t="s">
        <v>5</v>
      </c>
      <c r="C14" s="3">
        <f t="shared" si="0"/>
        <v>2004</v>
      </c>
      <c r="D14" s="2">
        <v>103</v>
      </c>
      <c r="E14" s="6">
        <v>2</v>
      </c>
    </row>
    <row r="15" spans="1:8" ht="17" thickBot="1">
      <c r="A15">
        <f t="shared" si="1"/>
        <v>7</v>
      </c>
      <c r="B15" s="4"/>
      <c r="C15" s="3">
        <f t="shared" si="0"/>
        <v>2004</v>
      </c>
      <c r="D15" s="2">
        <v>102</v>
      </c>
      <c r="E15" s="6">
        <v>6</v>
      </c>
    </row>
    <row r="16" spans="1:8" ht="17" thickBot="1">
      <c r="A16">
        <f t="shared" si="1"/>
        <v>8</v>
      </c>
      <c r="B16" s="3" t="s">
        <v>6</v>
      </c>
      <c r="C16" s="3">
        <f t="shared" si="0"/>
        <v>2011</v>
      </c>
      <c r="D16" s="2">
        <v>223</v>
      </c>
      <c r="E16" s="6">
        <v>4</v>
      </c>
    </row>
    <row r="17" spans="1:5" ht="17" thickBot="1">
      <c r="A17">
        <f t="shared" si="1"/>
        <v>8</v>
      </c>
      <c r="B17" s="4"/>
      <c r="C17" s="3">
        <f t="shared" si="0"/>
        <v>2011</v>
      </c>
      <c r="D17" s="2">
        <v>219</v>
      </c>
      <c r="E17" s="6">
        <v>2</v>
      </c>
    </row>
    <row r="18" spans="1:5" ht="17" thickBot="1">
      <c r="A18">
        <f t="shared" si="1"/>
        <v>9</v>
      </c>
      <c r="B18" s="3" t="s">
        <v>7</v>
      </c>
      <c r="C18" s="3">
        <f t="shared" si="0"/>
        <v>2012</v>
      </c>
      <c r="D18" s="2">
        <v>44</v>
      </c>
      <c r="E18" s="6">
        <v>3</v>
      </c>
    </row>
    <row r="19" spans="1:5" ht="17" thickBot="1">
      <c r="A19">
        <f t="shared" si="1"/>
        <v>9</v>
      </c>
      <c r="B19" s="4"/>
      <c r="C19" s="3">
        <f t="shared" si="0"/>
        <v>2012</v>
      </c>
      <c r="D19" s="2">
        <v>42</v>
      </c>
      <c r="E19" s="6">
        <v>2</v>
      </c>
    </row>
    <row r="20" spans="1:5" ht="17" thickBot="1">
      <c r="A20">
        <f t="shared" si="1"/>
        <v>10</v>
      </c>
      <c r="B20" s="3" t="s">
        <v>8</v>
      </c>
      <c r="C20" s="3">
        <f t="shared" si="0"/>
        <v>2012</v>
      </c>
      <c r="D20" s="2">
        <v>238</v>
      </c>
      <c r="E20" s="6">
        <v>3</v>
      </c>
    </row>
    <row r="21" spans="1:5" ht="17" thickBot="1">
      <c r="A21">
        <f t="shared" si="1"/>
        <v>10</v>
      </c>
      <c r="B21" s="4"/>
      <c r="C21" s="3">
        <f t="shared" si="0"/>
        <v>2012</v>
      </c>
      <c r="D21" s="2">
        <v>234</v>
      </c>
      <c r="E21" s="6">
        <v>5</v>
      </c>
    </row>
    <row r="22" spans="1:5" ht="17" thickBot="1">
      <c r="A22">
        <f t="shared" si="1"/>
        <v>11</v>
      </c>
      <c r="B22" s="3" t="s">
        <v>9</v>
      </c>
      <c r="C22" s="3">
        <f t="shared" si="0"/>
        <v>2007</v>
      </c>
      <c r="D22" s="2">
        <v>21</v>
      </c>
      <c r="E22" s="6">
        <v>8</v>
      </c>
    </row>
    <row r="23" spans="1:5" ht="17" thickBot="1">
      <c r="A23">
        <f t="shared" si="1"/>
        <v>11</v>
      </c>
      <c r="B23" s="1"/>
      <c r="C23" s="3">
        <f t="shared" si="0"/>
        <v>2007</v>
      </c>
      <c r="D23" s="2">
        <v>23</v>
      </c>
      <c r="E23" s="6">
        <v>9</v>
      </c>
    </row>
    <row r="24" spans="1:5" ht="17" thickBot="1">
      <c r="A24">
        <f t="shared" si="1"/>
        <v>11</v>
      </c>
      <c r="B24" s="1"/>
      <c r="C24" s="3">
        <f t="shared" si="0"/>
        <v>2007</v>
      </c>
      <c r="D24" s="2">
        <v>22</v>
      </c>
      <c r="E24" s="6">
        <v>7</v>
      </c>
    </row>
    <row r="25" spans="1:5" ht="17" thickBot="1">
      <c r="A25">
        <f t="shared" si="1"/>
        <v>11</v>
      </c>
      <c r="B25" s="4"/>
      <c r="C25" s="3">
        <f t="shared" si="0"/>
        <v>2007</v>
      </c>
      <c r="D25" s="2">
        <v>24</v>
      </c>
      <c r="E25" s="6">
        <v>6</v>
      </c>
    </row>
    <row r="26" spans="1:5" ht="17" thickBot="1">
      <c r="A26">
        <f t="shared" si="1"/>
        <v>12</v>
      </c>
      <c r="B26" s="3" t="s">
        <v>10</v>
      </c>
      <c r="C26" s="3">
        <f t="shared" si="0"/>
        <v>2015</v>
      </c>
      <c r="D26" s="2">
        <v>52</v>
      </c>
      <c r="E26" s="6">
        <v>7</v>
      </c>
    </row>
    <row r="27" spans="1:5" ht="17" thickBot="1">
      <c r="A27">
        <f t="shared" si="1"/>
        <v>12</v>
      </c>
      <c r="B27" s="4"/>
      <c r="C27" s="3">
        <f t="shared" si="0"/>
        <v>2015</v>
      </c>
      <c r="D27" s="2">
        <v>53</v>
      </c>
      <c r="E27" s="6">
        <v>6</v>
      </c>
    </row>
    <row r="28" spans="1:5" ht="17" thickBot="1">
      <c r="A28">
        <f t="shared" si="1"/>
        <v>13</v>
      </c>
      <c r="B28" s="3" t="s">
        <v>11</v>
      </c>
      <c r="C28" s="3">
        <f t="shared" si="0"/>
        <v>2003</v>
      </c>
      <c r="D28" s="2">
        <v>47</v>
      </c>
      <c r="E28" s="6">
        <v>7</v>
      </c>
    </row>
    <row r="29" spans="1:5" ht="17" thickBot="1">
      <c r="A29">
        <f t="shared" si="1"/>
        <v>13</v>
      </c>
      <c r="B29" s="4"/>
      <c r="C29" s="3">
        <f t="shared" si="0"/>
        <v>2003</v>
      </c>
      <c r="D29" s="2">
        <v>43</v>
      </c>
      <c r="E29" s="6">
        <v>6</v>
      </c>
    </row>
    <row r="30" spans="1:5" ht="17" thickBot="1">
      <c r="A30">
        <f t="shared" si="1"/>
        <v>14</v>
      </c>
      <c r="B30" s="3" t="s">
        <v>12</v>
      </c>
      <c r="C30" s="3">
        <f t="shared" si="0"/>
        <v>2021</v>
      </c>
      <c r="D30" s="2">
        <v>39</v>
      </c>
      <c r="E30" s="6">
        <v>8</v>
      </c>
    </row>
    <row r="31" spans="1:5" ht="17" thickBot="1">
      <c r="A31">
        <f t="shared" si="1"/>
        <v>14</v>
      </c>
      <c r="B31" s="1"/>
      <c r="C31" s="3">
        <f t="shared" si="0"/>
        <v>2021</v>
      </c>
      <c r="D31" s="2">
        <v>32</v>
      </c>
      <c r="E31" s="6">
        <v>7</v>
      </c>
    </row>
    <row r="32" spans="1:5" ht="17" thickBot="1">
      <c r="A32">
        <f t="shared" si="1"/>
        <v>14</v>
      </c>
      <c r="B32" s="1"/>
      <c r="C32" s="3">
        <f t="shared" si="0"/>
        <v>2021</v>
      </c>
      <c r="D32" s="2">
        <v>35</v>
      </c>
      <c r="E32" s="6">
        <v>6</v>
      </c>
    </row>
    <row r="33" spans="1:5" ht="17" thickBot="1">
      <c r="A33">
        <f t="shared" si="1"/>
        <v>15</v>
      </c>
      <c r="B33" s="3" t="s">
        <v>13</v>
      </c>
      <c r="C33" s="3">
        <f t="shared" si="0"/>
        <v>2013</v>
      </c>
      <c r="D33" s="2">
        <v>50</v>
      </c>
      <c r="E33" s="6">
        <v>8</v>
      </c>
    </row>
    <row r="34" spans="1:5" ht="17" thickBot="1">
      <c r="A34">
        <f t="shared" si="1"/>
        <v>15</v>
      </c>
      <c r="B34" s="4"/>
      <c r="C34" s="3">
        <f t="shared" si="0"/>
        <v>2013</v>
      </c>
      <c r="D34" s="2">
        <v>50</v>
      </c>
      <c r="E34" s="6">
        <v>7</v>
      </c>
    </row>
    <row r="35" spans="1:5" ht="17" thickBot="1">
      <c r="A35">
        <f t="shared" si="1"/>
        <v>16</v>
      </c>
      <c r="B35" s="3" t="s">
        <v>14</v>
      </c>
      <c r="C35" s="3">
        <f t="shared" si="0"/>
        <v>2006</v>
      </c>
      <c r="D35" s="2">
        <v>32</v>
      </c>
      <c r="E35" s="6">
        <v>4</v>
      </c>
    </row>
    <row r="36" spans="1:5" ht="17" thickBot="1">
      <c r="A36">
        <f t="shared" si="1"/>
        <v>16</v>
      </c>
      <c r="B36" s="4"/>
      <c r="C36" s="3">
        <f t="shared" si="0"/>
        <v>2006</v>
      </c>
      <c r="D36" s="2">
        <v>32</v>
      </c>
      <c r="E36" s="6">
        <v>2</v>
      </c>
    </row>
    <row r="37" spans="1:5" ht="17" thickBot="1">
      <c r="A37">
        <f t="shared" si="1"/>
        <v>17</v>
      </c>
      <c r="B37" s="3" t="s">
        <v>15</v>
      </c>
      <c r="C37" s="3">
        <f t="shared" si="0"/>
        <v>2011</v>
      </c>
      <c r="D37" s="2">
        <v>40</v>
      </c>
      <c r="E37" s="6">
        <v>8</v>
      </c>
    </row>
    <row r="38" spans="1:5" ht="17" thickBot="1">
      <c r="A38">
        <f t="shared" si="1"/>
        <v>17</v>
      </c>
      <c r="B38" s="4"/>
      <c r="C38" s="3">
        <f t="shared" si="0"/>
        <v>2011</v>
      </c>
      <c r="D38" s="2">
        <v>40</v>
      </c>
      <c r="E38" s="6">
        <v>6</v>
      </c>
    </row>
    <row r="39" spans="1:5" ht="17" thickBot="1">
      <c r="A39">
        <f t="shared" si="1"/>
        <v>18</v>
      </c>
      <c r="B39" s="3" t="s">
        <v>16</v>
      </c>
      <c r="C39" s="3">
        <f t="shared" si="0"/>
        <v>2006</v>
      </c>
      <c r="D39" s="2">
        <v>250</v>
      </c>
      <c r="E39" s="6">
        <v>4</v>
      </c>
    </row>
    <row r="40" spans="1:5" ht="17" thickBot="1">
      <c r="A40">
        <f t="shared" si="1"/>
        <v>18</v>
      </c>
      <c r="B40" s="4"/>
      <c r="C40" s="3">
        <f t="shared" si="0"/>
        <v>2006</v>
      </c>
      <c r="D40" s="2">
        <v>254</v>
      </c>
      <c r="E40" s="6">
        <v>2</v>
      </c>
    </row>
    <row r="41" spans="1:5" ht="17" thickBot="1">
      <c r="A41">
        <f t="shared" si="1"/>
        <v>19</v>
      </c>
      <c r="B41" s="3" t="s">
        <v>17</v>
      </c>
      <c r="C41" s="3">
        <f t="shared" si="0"/>
        <v>2018</v>
      </c>
      <c r="D41" s="2">
        <v>70</v>
      </c>
      <c r="E41" s="6">
        <v>8</v>
      </c>
    </row>
    <row r="42" spans="1:5" ht="17" thickBot="1">
      <c r="A42">
        <f t="shared" si="1"/>
        <v>19</v>
      </c>
      <c r="B42" s="1"/>
      <c r="C42" s="3">
        <f t="shared" si="0"/>
        <v>2018</v>
      </c>
      <c r="D42" s="2">
        <v>70</v>
      </c>
      <c r="E42" s="6">
        <v>7</v>
      </c>
    </row>
    <row r="43" spans="1:5" ht="17" thickBot="1">
      <c r="A43">
        <f t="shared" si="1"/>
        <v>19</v>
      </c>
      <c r="B43" s="4"/>
      <c r="C43" s="3">
        <f t="shared" si="0"/>
        <v>2018</v>
      </c>
      <c r="D43" s="2">
        <v>70</v>
      </c>
      <c r="E43" s="6">
        <v>6</v>
      </c>
    </row>
    <row r="44" spans="1:5" ht="17" thickBot="1">
      <c r="A44">
        <f t="shared" si="1"/>
        <v>20</v>
      </c>
      <c r="B44" s="3" t="s">
        <v>18</v>
      </c>
      <c r="C44" s="3">
        <f t="shared" si="0"/>
        <v>2006</v>
      </c>
      <c r="D44" s="2">
        <v>117</v>
      </c>
      <c r="E44" s="6">
        <v>8</v>
      </c>
    </row>
    <row r="45" spans="1:5" ht="17" thickBot="1">
      <c r="A45">
        <f t="shared" si="1"/>
        <v>20</v>
      </c>
      <c r="B45" s="1"/>
      <c r="C45" s="3">
        <f t="shared" si="0"/>
        <v>2006</v>
      </c>
      <c r="D45" s="2">
        <v>117</v>
      </c>
      <c r="E45" s="6">
        <v>6</v>
      </c>
    </row>
    <row r="46" spans="1:5" ht="17" thickBot="1">
      <c r="A46">
        <f t="shared" si="1"/>
        <v>20</v>
      </c>
      <c r="B46" s="4"/>
      <c r="C46" s="3">
        <f t="shared" si="0"/>
        <v>2006</v>
      </c>
      <c r="D46" s="2">
        <v>117</v>
      </c>
      <c r="E46" s="6">
        <v>1</v>
      </c>
    </row>
    <row r="47" spans="1:5" ht="17" thickBot="1">
      <c r="A47">
        <f t="shared" si="1"/>
        <v>21</v>
      </c>
      <c r="B47" s="3" t="s">
        <v>19</v>
      </c>
      <c r="C47" s="3">
        <f t="shared" si="0"/>
        <v>2011</v>
      </c>
      <c r="D47" s="2">
        <v>105</v>
      </c>
      <c r="E47" s="6">
        <v>8</v>
      </c>
    </row>
    <row r="48" spans="1:5" ht="17" thickBot="1">
      <c r="A48">
        <f t="shared" si="1"/>
        <v>21</v>
      </c>
      <c r="B48" s="4"/>
      <c r="C48" s="3">
        <f t="shared" si="0"/>
        <v>2011</v>
      </c>
      <c r="D48" s="2">
        <v>105</v>
      </c>
      <c r="E48" s="6">
        <v>6</v>
      </c>
    </row>
    <row r="49" spans="1:5" ht="17" customHeight="1" thickBot="1">
      <c r="A49">
        <f t="shared" si="1"/>
        <v>22</v>
      </c>
      <c r="B49" s="8" t="s">
        <v>20</v>
      </c>
      <c r="C49" s="3">
        <f t="shared" si="0"/>
        <v>2000</v>
      </c>
      <c r="D49" s="2">
        <v>95</v>
      </c>
      <c r="E49" s="6">
        <v>2</v>
      </c>
    </row>
    <row r="50" spans="1:5" ht="17" thickBot="1">
      <c r="A50">
        <f t="shared" si="1"/>
        <v>22</v>
      </c>
      <c r="B50" s="9"/>
      <c r="C50" s="3">
        <f t="shared" si="0"/>
        <v>2000</v>
      </c>
      <c r="D50" s="2">
        <v>198</v>
      </c>
      <c r="E50" s="6">
        <v>1</v>
      </c>
    </row>
    <row r="51" spans="1:5" ht="17" thickBot="1">
      <c r="A51">
        <f t="shared" si="1"/>
        <v>23</v>
      </c>
      <c r="B51" s="8" t="s">
        <v>22</v>
      </c>
      <c r="C51" s="3">
        <f t="shared" si="0"/>
        <v>2011</v>
      </c>
      <c r="D51" s="2">
        <v>62</v>
      </c>
      <c r="E51" s="6">
        <v>6</v>
      </c>
    </row>
    <row r="52" spans="1:5" ht="17" thickBot="1">
      <c r="A52">
        <f t="shared" si="1"/>
        <v>23</v>
      </c>
      <c r="B52" s="9"/>
      <c r="C52" s="3">
        <f t="shared" si="0"/>
        <v>2011</v>
      </c>
      <c r="D52" s="2">
        <v>62</v>
      </c>
      <c r="E52" s="6">
        <v>1</v>
      </c>
    </row>
    <row r="53" spans="1:5" ht="17" thickBot="1">
      <c r="A53">
        <f t="shared" si="1"/>
        <v>24</v>
      </c>
      <c r="B53" s="8" t="s">
        <v>23</v>
      </c>
      <c r="C53" s="3">
        <f t="shared" si="0"/>
        <v>2014</v>
      </c>
      <c r="D53" s="2">
        <v>40</v>
      </c>
      <c r="E53" s="6">
        <v>1</v>
      </c>
    </row>
    <row r="54" spans="1:5" ht="17" thickBot="1">
      <c r="A54">
        <f t="shared" si="1"/>
        <v>24</v>
      </c>
      <c r="B54" s="9"/>
      <c r="C54" s="3">
        <f t="shared" si="0"/>
        <v>2014</v>
      </c>
      <c r="D54" s="2">
        <v>40</v>
      </c>
      <c r="E54" s="6">
        <v>2</v>
      </c>
    </row>
    <row r="55" spans="1:5" ht="17" thickBot="1">
      <c r="A55">
        <f t="shared" si="1"/>
        <v>25</v>
      </c>
      <c r="B55" s="8" t="s">
        <v>24</v>
      </c>
      <c r="C55" s="3">
        <f t="shared" si="0"/>
        <v>2007</v>
      </c>
      <c r="D55" s="2">
        <v>44</v>
      </c>
      <c r="E55" s="6">
        <v>1</v>
      </c>
    </row>
    <row r="56" spans="1:5" ht="17" thickBot="1">
      <c r="A56">
        <f t="shared" si="1"/>
        <v>25</v>
      </c>
      <c r="B56" s="9"/>
      <c r="C56" s="3">
        <f t="shared" si="0"/>
        <v>2007</v>
      </c>
      <c r="D56" s="2">
        <v>67</v>
      </c>
      <c r="E56" s="6">
        <v>6</v>
      </c>
    </row>
    <row r="57" spans="1:5" ht="17" thickBot="1">
      <c r="A57">
        <f t="shared" si="1"/>
        <v>26</v>
      </c>
      <c r="B57" s="8" t="s">
        <v>25</v>
      </c>
      <c r="C57" s="3">
        <f t="shared" si="0"/>
        <v>2005</v>
      </c>
      <c r="D57" s="2">
        <v>50</v>
      </c>
      <c r="E57" s="6">
        <v>6</v>
      </c>
    </row>
    <row r="58" spans="1:5" ht="17" thickBot="1">
      <c r="A58">
        <f t="shared" si="1"/>
        <v>26</v>
      </c>
      <c r="B58" s="9"/>
      <c r="C58" s="3">
        <f t="shared" si="0"/>
        <v>2005</v>
      </c>
      <c r="D58" s="2">
        <v>50</v>
      </c>
      <c r="E58" s="6">
        <v>1</v>
      </c>
    </row>
    <row r="59" spans="1:5" ht="17" thickBot="1">
      <c r="A59">
        <f t="shared" si="1"/>
        <v>27</v>
      </c>
      <c r="B59" s="8" t="s">
        <v>26</v>
      </c>
      <c r="C59" s="3">
        <f t="shared" si="0"/>
        <v>2005</v>
      </c>
      <c r="D59" s="2">
        <v>73</v>
      </c>
      <c r="E59" s="6">
        <v>8</v>
      </c>
    </row>
    <row r="60" spans="1:5" ht="17" thickBot="1">
      <c r="A60">
        <f t="shared" si="1"/>
        <v>27</v>
      </c>
      <c r="B60" s="9"/>
      <c r="C60" s="3">
        <f t="shared" si="0"/>
        <v>2005</v>
      </c>
      <c r="D60" s="2">
        <v>75</v>
      </c>
      <c r="E60" s="6">
        <v>1</v>
      </c>
    </row>
    <row r="61" spans="1:5" ht="17" thickBot="1">
      <c r="A61">
        <f t="shared" si="1"/>
        <v>28</v>
      </c>
      <c r="B61" s="8" t="s">
        <v>27</v>
      </c>
      <c r="C61" s="3">
        <f t="shared" si="0"/>
        <v>2005</v>
      </c>
      <c r="D61" s="2">
        <v>40</v>
      </c>
      <c r="E61" s="6">
        <v>8</v>
      </c>
    </row>
    <row r="62" spans="1:5" ht="17" thickBot="1">
      <c r="A62">
        <f t="shared" si="1"/>
        <v>28</v>
      </c>
      <c r="B62" s="9"/>
      <c r="C62" s="3">
        <f t="shared" si="0"/>
        <v>2005</v>
      </c>
      <c r="D62" s="2">
        <v>40</v>
      </c>
      <c r="E62" s="6">
        <v>1</v>
      </c>
    </row>
    <row r="63" spans="1:5" ht="17" thickBot="1">
      <c r="A63">
        <f t="shared" si="1"/>
        <v>29</v>
      </c>
      <c r="B63" s="8" t="s">
        <v>28</v>
      </c>
      <c r="C63" s="3">
        <f t="shared" si="0"/>
        <v>2002</v>
      </c>
      <c r="D63" s="2">
        <v>18</v>
      </c>
      <c r="E63" s="6">
        <v>2</v>
      </c>
    </row>
    <row r="64" spans="1:5" ht="17" thickBot="1">
      <c r="A64">
        <f t="shared" si="1"/>
        <v>29</v>
      </c>
      <c r="B64" s="9"/>
      <c r="C64" s="3">
        <f t="shared" si="0"/>
        <v>2002</v>
      </c>
      <c r="D64" s="2">
        <v>19</v>
      </c>
      <c r="E64" s="6">
        <v>1</v>
      </c>
    </row>
    <row r="65" spans="1:5" ht="17" thickBot="1">
      <c r="A65">
        <f t="shared" si="1"/>
        <v>30</v>
      </c>
      <c r="B65" s="8" t="s">
        <v>29</v>
      </c>
      <c r="C65" s="3">
        <f t="shared" si="0"/>
        <v>2000</v>
      </c>
      <c r="D65" s="2">
        <v>486</v>
      </c>
      <c r="E65" s="6">
        <v>2</v>
      </c>
    </row>
    <row r="66" spans="1:5" ht="17" thickBot="1">
      <c r="A66">
        <f t="shared" si="1"/>
        <v>30</v>
      </c>
      <c r="B66" s="9"/>
      <c r="C66" s="3">
        <f t="shared" si="0"/>
        <v>2000</v>
      </c>
      <c r="D66" s="2">
        <v>244</v>
      </c>
      <c r="E66" s="6">
        <v>1</v>
      </c>
    </row>
    <row r="67" spans="1:5" ht="17" thickBot="1">
      <c r="A67">
        <f t="shared" si="1"/>
        <v>31</v>
      </c>
      <c r="B67" s="8" t="s">
        <v>30</v>
      </c>
      <c r="C67" s="3">
        <f t="shared" ref="C67:C130" si="2">IF(B67="",
    C66,
    IFERROR(--_xlfn.TEXTAFTER(B67,", ",-1),"")
)</f>
        <v>2004</v>
      </c>
      <c r="D67" s="2">
        <v>30</v>
      </c>
      <c r="E67" s="6">
        <v>6</v>
      </c>
    </row>
    <row r="68" spans="1:5" ht="17" thickBot="1">
      <c r="A68">
        <f t="shared" ref="A68:A131" si="3">IF(B68="",A67,A67+1)</f>
        <v>31</v>
      </c>
      <c r="B68" s="9"/>
      <c r="C68" s="3">
        <f t="shared" si="2"/>
        <v>2004</v>
      </c>
      <c r="D68" s="2">
        <v>30</v>
      </c>
      <c r="E68" s="6">
        <v>1</v>
      </c>
    </row>
    <row r="69" spans="1:5" ht="17" thickBot="1">
      <c r="A69">
        <f t="shared" si="3"/>
        <v>32</v>
      </c>
      <c r="B69" s="8" t="s">
        <v>31</v>
      </c>
      <c r="C69" s="3">
        <f t="shared" si="2"/>
        <v>2005</v>
      </c>
      <c r="D69" s="2">
        <v>33</v>
      </c>
      <c r="E69" s="6">
        <v>4</v>
      </c>
    </row>
    <row r="70" spans="1:5" ht="17" thickBot="1">
      <c r="A70">
        <f t="shared" si="3"/>
        <v>32</v>
      </c>
      <c r="B70" s="9"/>
      <c r="C70" s="3">
        <f t="shared" si="2"/>
        <v>2005</v>
      </c>
      <c r="D70" s="2">
        <v>33</v>
      </c>
      <c r="E70" s="6">
        <v>1</v>
      </c>
    </row>
    <row r="71" spans="1:5" ht="17" thickBot="1">
      <c r="A71">
        <f t="shared" si="3"/>
        <v>33</v>
      </c>
      <c r="B71" s="8" t="s">
        <v>32</v>
      </c>
      <c r="C71" s="3">
        <f t="shared" si="2"/>
        <v>2012</v>
      </c>
      <c r="D71" s="2">
        <v>32</v>
      </c>
      <c r="E71" s="6">
        <v>6</v>
      </c>
    </row>
    <row r="72" spans="1:5" ht="17" thickBot="1">
      <c r="A72">
        <f t="shared" si="3"/>
        <v>33</v>
      </c>
      <c r="B72" s="9"/>
      <c r="C72" s="3">
        <f t="shared" si="2"/>
        <v>2012</v>
      </c>
      <c r="D72" s="2">
        <v>32</v>
      </c>
      <c r="E72" s="6">
        <v>1</v>
      </c>
    </row>
    <row r="73" spans="1:5" ht="17" thickBot="1">
      <c r="A73">
        <f t="shared" si="3"/>
        <v>34</v>
      </c>
      <c r="B73" s="8" t="s">
        <v>33</v>
      </c>
      <c r="C73" s="3">
        <f t="shared" si="2"/>
        <v>2006</v>
      </c>
      <c r="D73" s="2">
        <v>30</v>
      </c>
      <c r="E73" s="6">
        <v>6</v>
      </c>
    </row>
    <row r="74" spans="1:5" ht="17" thickBot="1">
      <c r="A74">
        <f t="shared" si="3"/>
        <v>34</v>
      </c>
      <c r="B74" s="9"/>
      <c r="C74" s="3">
        <f t="shared" si="2"/>
        <v>2006</v>
      </c>
      <c r="D74" s="2">
        <v>30</v>
      </c>
      <c r="E74" s="6">
        <v>1</v>
      </c>
    </row>
    <row r="75" spans="1:5" ht="17" thickBot="1">
      <c r="A75">
        <f t="shared" si="3"/>
        <v>35</v>
      </c>
      <c r="B75" s="8" t="s">
        <v>34</v>
      </c>
      <c r="C75" s="3">
        <f t="shared" si="2"/>
        <v>2010</v>
      </c>
      <c r="D75" s="2">
        <v>117</v>
      </c>
      <c r="E75" s="6">
        <v>2</v>
      </c>
    </row>
    <row r="76" spans="1:5" ht="17" thickBot="1">
      <c r="A76">
        <f t="shared" si="3"/>
        <v>35</v>
      </c>
      <c r="B76" s="9"/>
      <c r="C76" s="3">
        <f t="shared" si="2"/>
        <v>2010</v>
      </c>
      <c r="D76" s="2">
        <v>118</v>
      </c>
      <c r="E76" s="6">
        <v>1</v>
      </c>
    </row>
    <row r="77" spans="1:5" ht="17" thickBot="1">
      <c r="A77">
        <f t="shared" si="3"/>
        <v>36</v>
      </c>
      <c r="B77" s="8" t="s">
        <v>35</v>
      </c>
      <c r="C77" s="3">
        <f t="shared" si="2"/>
        <v>2001</v>
      </c>
      <c r="D77" s="2">
        <v>105</v>
      </c>
      <c r="E77" s="6">
        <v>2</v>
      </c>
    </row>
    <row r="78" spans="1:5" ht="17" thickBot="1">
      <c r="A78">
        <f t="shared" si="3"/>
        <v>36</v>
      </c>
      <c r="B78" s="9"/>
      <c r="C78" s="3">
        <f t="shared" si="2"/>
        <v>2001</v>
      </c>
      <c r="D78" s="2">
        <v>208</v>
      </c>
      <c r="E78" s="6">
        <v>1</v>
      </c>
    </row>
    <row r="79" spans="1:5" ht="17" thickBot="1">
      <c r="A79">
        <f t="shared" si="3"/>
        <v>37</v>
      </c>
      <c r="B79" s="8" t="s">
        <v>36</v>
      </c>
      <c r="C79" s="3">
        <f t="shared" si="2"/>
        <v>2007</v>
      </c>
      <c r="D79" s="2">
        <v>37</v>
      </c>
      <c r="E79" s="6">
        <v>1</v>
      </c>
    </row>
    <row r="80" spans="1:5" ht="17" thickBot="1">
      <c r="A80">
        <f t="shared" si="3"/>
        <v>37</v>
      </c>
      <c r="B80" s="9"/>
      <c r="C80" s="3">
        <f t="shared" si="2"/>
        <v>2007</v>
      </c>
      <c r="D80" s="2">
        <v>36</v>
      </c>
      <c r="E80" s="6">
        <v>6</v>
      </c>
    </row>
    <row r="81" spans="1:5" ht="17" thickBot="1">
      <c r="A81">
        <f t="shared" si="3"/>
        <v>38</v>
      </c>
      <c r="B81" s="8" t="s">
        <v>37</v>
      </c>
      <c r="C81" s="3">
        <f t="shared" si="2"/>
        <v>2006</v>
      </c>
      <c r="D81" s="2">
        <v>40</v>
      </c>
      <c r="E81" s="6">
        <v>6</v>
      </c>
    </row>
    <row r="82" spans="1:5" ht="17" thickBot="1">
      <c r="A82">
        <f t="shared" si="3"/>
        <v>38</v>
      </c>
      <c r="B82" s="9"/>
      <c r="C82" s="3">
        <f t="shared" si="2"/>
        <v>2006</v>
      </c>
      <c r="D82" s="2">
        <v>38</v>
      </c>
      <c r="E82" s="6">
        <v>1</v>
      </c>
    </row>
    <row r="83" spans="1:5" ht="17" thickBot="1">
      <c r="A83">
        <f t="shared" si="3"/>
        <v>39</v>
      </c>
      <c r="B83" s="8" t="s">
        <v>38</v>
      </c>
      <c r="C83" s="3">
        <f t="shared" si="2"/>
        <v>2011</v>
      </c>
      <c r="D83" s="2">
        <v>113</v>
      </c>
      <c r="E83" s="6">
        <v>4</v>
      </c>
    </row>
    <row r="84" spans="1:5" ht="17" thickBot="1">
      <c r="A84">
        <f t="shared" si="3"/>
        <v>39</v>
      </c>
      <c r="B84" s="9"/>
      <c r="C84" s="3">
        <f t="shared" si="2"/>
        <v>2011</v>
      </c>
      <c r="D84" s="2">
        <v>115</v>
      </c>
      <c r="E84" s="6">
        <v>1</v>
      </c>
    </row>
    <row r="85" spans="1:5" ht="17" thickBot="1">
      <c r="A85">
        <f t="shared" si="3"/>
        <v>40</v>
      </c>
      <c r="B85" s="8" t="s">
        <v>39</v>
      </c>
      <c r="C85" s="3">
        <f t="shared" si="2"/>
        <v>2012</v>
      </c>
      <c r="D85" s="2">
        <v>150</v>
      </c>
      <c r="E85" s="6">
        <v>1</v>
      </c>
    </row>
    <row r="86" spans="1:5" ht="17" thickBot="1">
      <c r="A86">
        <f t="shared" si="3"/>
        <v>40</v>
      </c>
      <c r="B86" s="9"/>
      <c r="C86" s="3">
        <f t="shared" si="2"/>
        <v>2012</v>
      </c>
      <c r="D86" s="2">
        <v>150</v>
      </c>
      <c r="E86" s="6">
        <v>8</v>
      </c>
    </row>
    <row r="87" spans="1:5" ht="17" thickBot="1">
      <c r="A87">
        <f t="shared" si="3"/>
        <v>41</v>
      </c>
      <c r="B87" s="8" t="s">
        <v>40</v>
      </c>
      <c r="C87" s="3">
        <f t="shared" si="2"/>
        <v>2010</v>
      </c>
      <c r="D87" s="2">
        <v>55</v>
      </c>
      <c r="E87" s="6">
        <v>8</v>
      </c>
    </row>
    <row r="88" spans="1:5" ht="17" thickBot="1">
      <c r="A88">
        <f t="shared" si="3"/>
        <v>41</v>
      </c>
      <c r="B88" s="9"/>
      <c r="C88" s="3">
        <f t="shared" si="2"/>
        <v>2010</v>
      </c>
      <c r="D88" s="2">
        <v>57</v>
      </c>
      <c r="E88" s="6">
        <v>1</v>
      </c>
    </row>
    <row r="89" spans="1:5" ht="17" thickBot="1">
      <c r="A89">
        <f t="shared" si="3"/>
        <v>42</v>
      </c>
      <c r="B89" s="8" t="s">
        <v>14</v>
      </c>
      <c r="C89" s="3">
        <f t="shared" si="2"/>
        <v>2006</v>
      </c>
      <c r="D89" s="2">
        <v>91</v>
      </c>
      <c r="E89" s="6">
        <v>4</v>
      </c>
    </row>
    <row r="90" spans="1:5" ht="17" thickBot="1">
      <c r="A90">
        <f t="shared" si="3"/>
        <v>42</v>
      </c>
      <c r="B90" s="9"/>
      <c r="C90" s="3">
        <f t="shared" si="2"/>
        <v>2006</v>
      </c>
      <c r="D90" s="2">
        <v>91</v>
      </c>
      <c r="E90" s="6">
        <v>1</v>
      </c>
    </row>
    <row r="91" spans="1:5" ht="17" thickBot="1">
      <c r="A91">
        <f t="shared" si="3"/>
        <v>43</v>
      </c>
      <c r="B91" s="8" t="s">
        <v>41</v>
      </c>
      <c r="C91" s="3">
        <f t="shared" si="2"/>
        <v>2006</v>
      </c>
      <c r="D91" s="2">
        <v>38</v>
      </c>
      <c r="E91" s="6">
        <v>6</v>
      </c>
    </row>
    <row r="92" spans="1:5" ht="17" thickBot="1">
      <c r="A92">
        <f t="shared" si="3"/>
        <v>43</v>
      </c>
      <c r="B92" s="9"/>
      <c r="C92" s="3">
        <f t="shared" si="2"/>
        <v>2006</v>
      </c>
      <c r="D92" s="2">
        <v>34</v>
      </c>
      <c r="E92" s="6">
        <v>1</v>
      </c>
    </row>
    <row r="93" spans="1:5" ht="17" thickBot="1">
      <c r="A93">
        <f t="shared" si="3"/>
        <v>44</v>
      </c>
      <c r="B93" s="8" t="s">
        <v>42</v>
      </c>
      <c r="C93" s="3">
        <f t="shared" si="2"/>
        <v>2015</v>
      </c>
      <c r="D93" s="2">
        <v>31</v>
      </c>
      <c r="E93" s="6">
        <v>7</v>
      </c>
    </row>
    <row r="94" spans="1:5" ht="17" thickBot="1">
      <c r="A94">
        <f t="shared" si="3"/>
        <v>44</v>
      </c>
      <c r="B94" s="9"/>
      <c r="C94" s="3">
        <f t="shared" si="2"/>
        <v>2015</v>
      </c>
      <c r="D94" s="2">
        <v>29</v>
      </c>
      <c r="E94" s="6">
        <v>1</v>
      </c>
    </row>
    <row r="95" spans="1:5" ht="17" thickBot="1">
      <c r="A95">
        <f t="shared" si="3"/>
        <v>45</v>
      </c>
      <c r="B95" s="8" t="s">
        <v>43</v>
      </c>
      <c r="C95" s="3">
        <f t="shared" si="2"/>
        <v>2008</v>
      </c>
      <c r="D95" s="2">
        <v>37</v>
      </c>
      <c r="E95" s="6">
        <v>8</v>
      </c>
    </row>
    <row r="96" spans="1:5" ht="17" thickBot="1">
      <c r="A96">
        <f t="shared" si="3"/>
        <v>45</v>
      </c>
      <c r="B96" s="9"/>
      <c r="C96" s="3">
        <f t="shared" si="2"/>
        <v>2008</v>
      </c>
      <c r="D96" s="2">
        <v>37</v>
      </c>
      <c r="E96" s="6">
        <v>1</v>
      </c>
    </row>
    <row r="97" spans="1:5" ht="17" thickBot="1">
      <c r="A97">
        <f t="shared" si="3"/>
        <v>46</v>
      </c>
      <c r="B97" s="8" t="s">
        <v>44</v>
      </c>
      <c r="C97" s="3">
        <f t="shared" si="2"/>
        <v>2010</v>
      </c>
      <c r="D97" s="2">
        <v>110</v>
      </c>
      <c r="E97" s="6">
        <v>8</v>
      </c>
    </row>
    <row r="98" spans="1:5" ht="17" thickBot="1">
      <c r="A98">
        <f t="shared" si="3"/>
        <v>46</v>
      </c>
      <c r="B98" s="9"/>
      <c r="C98" s="3">
        <f t="shared" si="2"/>
        <v>2010</v>
      </c>
      <c r="D98" s="2">
        <v>110</v>
      </c>
      <c r="E98" s="6">
        <v>1</v>
      </c>
    </row>
    <row r="99" spans="1:5" ht="17" thickBot="1">
      <c r="A99">
        <f t="shared" si="3"/>
        <v>47</v>
      </c>
      <c r="B99" s="8" t="s">
        <v>45</v>
      </c>
      <c r="C99" s="3">
        <f t="shared" si="2"/>
        <v>2004</v>
      </c>
      <c r="D99" s="2">
        <v>37</v>
      </c>
      <c r="E99" s="6">
        <v>2</v>
      </c>
    </row>
    <row r="100" spans="1:5" ht="17" thickBot="1">
      <c r="A100">
        <f t="shared" si="3"/>
        <v>47</v>
      </c>
      <c r="B100" s="9"/>
      <c r="C100" s="3">
        <f t="shared" si="2"/>
        <v>2004</v>
      </c>
      <c r="D100" s="2">
        <v>20</v>
      </c>
      <c r="E100" s="6">
        <v>1</v>
      </c>
    </row>
    <row r="101" spans="1:5" ht="17" thickBot="1">
      <c r="A101">
        <f t="shared" si="3"/>
        <v>48</v>
      </c>
      <c r="B101" s="8" t="s">
        <v>46</v>
      </c>
      <c r="C101" s="3">
        <f t="shared" si="2"/>
        <v>2005</v>
      </c>
      <c r="D101" s="2">
        <v>21</v>
      </c>
      <c r="E101" s="6">
        <v>2</v>
      </c>
    </row>
    <row r="102" spans="1:5" ht="17" thickBot="1">
      <c r="A102">
        <f t="shared" si="3"/>
        <v>48</v>
      </c>
      <c r="B102" s="9"/>
      <c r="C102" s="3">
        <f t="shared" si="2"/>
        <v>2005</v>
      </c>
      <c r="D102" s="2">
        <v>20</v>
      </c>
      <c r="E102" s="6">
        <v>1</v>
      </c>
    </row>
    <row r="103" spans="1:5" ht="17" thickBot="1">
      <c r="A103">
        <f t="shared" si="3"/>
        <v>49</v>
      </c>
      <c r="B103" s="8" t="s">
        <v>47</v>
      </c>
      <c r="C103" s="3">
        <f t="shared" si="2"/>
        <v>2004</v>
      </c>
      <c r="D103" s="2">
        <v>58</v>
      </c>
      <c r="E103" s="6">
        <v>6</v>
      </c>
    </row>
    <row r="104" spans="1:5" ht="17" thickBot="1">
      <c r="A104">
        <f t="shared" si="3"/>
        <v>49</v>
      </c>
      <c r="B104" s="9"/>
      <c r="C104" s="3">
        <f t="shared" si="2"/>
        <v>2004</v>
      </c>
      <c r="D104" s="2">
        <v>58</v>
      </c>
      <c r="E104" s="6">
        <v>1</v>
      </c>
    </row>
    <row r="105" spans="1:5" ht="17" thickBot="1">
      <c r="A105">
        <f t="shared" si="3"/>
        <v>50</v>
      </c>
      <c r="B105" s="8" t="s">
        <v>48</v>
      </c>
      <c r="C105" s="3">
        <f t="shared" si="2"/>
        <v>2005</v>
      </c>
      <c r="D105" s="2">
        <v>30</v>
      </c>
      <c r="E105" s="6">
        <v>6</v>
      </c>
    </row>
    <row r="106" spans="1:5" ht="17" thickBot="1">
      <c r="A106">
        <f t="shared" si="3"/>
        <v>50</v>
      </c>
      <c r="B106" s="9"/>
      <c r="C106" s="3">
        <f t="shared" si="2"/>
        <v>2005</v>
      </c>
      <c r="D106" s="2">
        <v>30</v>
      </c>
      <c r="E106" s="6">
        <v>1</v>
      </c>
    </row>
    <row r="107" spans="1:5" ht="17" thickBot="1">
      <c r="A107">
        <f t="shared" si="3"/>
        <v>51</v>
      </c>
      <c r="B107" s="8" t="s">
        <v>49</v>
      </c>
      <c r="C107" s="3">
        <f t="shared" si="2"/>
        <v>2015</v>
      </c>
      <c r="D107" s="2">
        <v>50</v>
      </c>
      <c r="E107" s="6">
        <v>8</v>
      </c>
    </row>
    <row r="108" spans="1:5" ht="17" thickBot="1">
      <c r="A108">
        <f t="shared" si="3"/>
        <v>51</v>
      </c>
      <c r="B108" s="9"/>
      <c r="C108" s="3">
        <f t="shared" si="2"/>
        <v>2015</v>
      </c>
      <c r="D108" s="2">
        <v>50</v>
      </c>
      <c r="E108" s="6">
        <v>1</v>
      </c>
    </row>
    <row r="109" spans="1:5" ht="17" thickBot="1">
      <c r="A109">
        <f t="shared" si="3"/>
        <v>52</v>
      </c>
      <c r="B109" s="8" t="s">
        <v>50</v>
      </c>
      <c r="C109" s="3">
        <f t="shared" si="2"/>
        <v>2008</v>
      </c>
      <c r="D109" s="2">
        <v>48</v>
      </c>
      <c r="E109" s="6">
        <v>8</v>
      </c>
    </row>
    <row r="110" spans="1:5" ht="17" thickBot="1">
      <c r="A110">
        <f t="shared" si="3"/>
        <v>52</v>
      </c>
      <c r="B110" s="9"/>
      <c r="C110" s="3">
        <f t="shared" si="2"/>
        <v>2008</v>
      </c>
      <c r="D110" s="2">
        <v>45</v>
      </c>
      <c r="E110" s="6">
        <v>1</v>
      </c>
    </row>
    <row r="111" spans="1:5" ht="17" thickBot="1">
      <c r="A111">
        <f t="shared" si="3"/>
        <v>53</v>
      </c>
      <c r="B111" s="8" t="s">
        <v>51</v>
      </c>
      <c r="C111" s="3">
        <f t="shared" si="2"/>
        <v>2007</v>
      </c>
      <c r="D111" s="2">
        <v>165</v>
      </c>
      <c r="E111" s="6">
        <v>6</v>
      </c>
    </row>
    <row r="112" spans="1:5" ht="17" thickBot="1">
      <c r="A112">
        <f t="shared" si="3"/>
        <v>53</v>
      </c>
      <c r="B112" s="7"/>
      <c r="C112" s="3">
        <f t="shared" si="2"/>
        <v>2007</v>
      </c>
      <c r="D112" s="2">
        <v>81</v>
      </c>
      <c r="E112" s="6">
        <v>1</v>
      </c>
    </row>
    <row r="113" spans="1:5" ht="17" thickBot="1">
      <c r="A113">
        <f t="shared" si="3"/>
        <v>54</v>
      </c>
      <c r="B113" s="8" t="s">
        <v>52</v>
      </c>
      <c r="C113" s="3">
        <f t="shared" si="2"/>
        <v>2012</v>
      </c>
      <c r="D113" s="2">
        <v>96</v>
      </c>
      <c r="E113" s="6">
        <v>2</v>
      </c>
    </row>
    <row r="114" spans="1:5" ht="17" thickBot="1">
      <c r="A114">
        <f t="shared" si="3"/>
        <v>54</v>
      </c>
      <c r="B114" s="9"/>
      <c r="C114" s="3">
        <f t="shared" si="2"/>
        <v>2012</v>
      </c>
      <c r="D114" s="2">
        <v>94</v>
      </c>
      <c r="E114" s="6">
        <v>1</v>
      </c>
    </row>
    <row r="115" spans="1:5" ht="17" thickBot="1">
      <c r="A115">
        <f t="shared" si="3"/>
        <v>55</v>
      </c>
      <c r="B115" s="8" t="s">
        <v>53</v>
      </c>
      <c r="C115" s="3">
        <f t="shared" si="2"/>
        <v>2013</v>
      </c>
      <c r="D115" s="2">
        <v>182</v>
      </c>
      <c r="E115" s="6">
        <v>2</v>
      </c>
    </row>
    <row r="116" spans="1:5" ht="17" thickBot="1">
      <c r="A116">
        <f t="shared" si="3"/>
        <v>55</v>
      </c>
      <c r="B116" s="9"/>
      <c r="C116" s="3">
        <f t="shared" si="2"/>
        <v>2013</v>
      </c>
      <c r="D116" s="2">
        <v>182</v>
      </c>
      <c r="E116" s="6">
        <v>1</v>
      </c>
    </row>
    <row r="117" spans="1:5" ht="17" thickBot="1">
      <c r="A117">
        <f t="shared" si="3"/>
        <v>56</v>
      </c>
      <c r="B117" s="8" t="s">
        <v>54</v>
      </c>
      <c r="C117" s="3">
        <f t="shared" si="2"/>
        <v>2012</v>
      </c>
      <c r="D117" s="2">
        <v>120</v>
      </c>
      <c r="E117" s="6">
        <v>2</v>
      </c>
    </row>
    <row r="118" spans="1:5" ht="17" thickBot="1">
      <c r="A118">
        <f t="shared" si="3"/>
        <v>56</v>
      </c>
      <c r="B118" s="9"/>
      <c r="C118" s="3">
        <f t="shared" si="2"/>
        <v>2012</v>
      </c>
      <c r="D118" s="2">
        <v>113</v>
      </c>
      <c r="E118" s="6">
        <v>1</v>
      </c>
    </row>
    <row r="119" spans="1:5" ht="17" thickBot="1">
      <c r="A119">
        <f t="shared" si="3"/>
        <v>57</v>
      </c>
      <c r="B119" s="8" t="s">
        <v>55</v>
      </c>
      <c r="C119" s="3">
        <f t="shared" si="2"/>
        <v>2012</v>
      </c>
      <c r="D119" s="2">
        <v>67</v>
      </c>
      <c r="E119" s="6">
        <v>6</v>
      </c>
    </row>
    <row r="120" spans="1:5" ht="17" thickBot="1">
      <c r="A120">
        <f t="shared" si="3"/>
        <v>57</v>
      </c>
      <c r="B120" s="9"/>
      <c r="C120" s="3">
        <f t="shared" si="2"/>
        <v>2012</v>
      </c>
      <c r="D120" s="2">
        <v>69</v>
      </c>
      <c r="E120" s="6">
        <v>1</v>
      </c>
    </row>
    <row r="121" spans="1:5" ht="17" thickBot="1">
      <c r="A121">
        <f t="shared" si="3"/>
        <v>58</v>
      </c>
      <c r="B121" s="8" t="s">
        <v>56</v>
      </c>
      <c r="C121" s="3">
        <f t="shared" si="2"/>
        <v>2009</v>
      </c>
      <c r="D121" s="2">
        <v>285</v>
      </c>
      <c r="E121" s="6">
        <v>6</v>
      </c>
    </row>
    <row r="122" spans="1:5" ht="17" thickBot="1">
      <c r="A122">
        <f t="shared" si="3"/>
        <v>58</v>
      </c>
      <c r="B122" s="9"/>
      <c r="C122" s="3">
        <f t="shared" si="2"/>
        <v>2009</v>
      </c>
      <c r="D122" s="2">
        <v>285</v>
      </c>
      <c r="E122" s="6">
        <v>1</v>
      </c>
    </row>
    <row r="123" spans="1:5" ht="17" thickBot="1">
      <c r="A123">
        <f t="shared" si="3"/>
        <v>59</v>
      </c>
      <c r="B123" s="8" t="s">
        <v>57</v>
      </c>
      <c r="C123" s="3">
        <f t="shared" si="2"/>
        <v>2006</v>
      </c>
      <c r="D123" s="2">
        <v>110</v>
      </c>
      <c r="E123" s="6">
        <v>6</v>
      </c>
    </row>
    <row r="124" spans="1:5" ht="17" thickBot="1">
      <c r="A124">
        <f t="shared" si="3"/>
        <v>59</v>
      </c>
      <c r="B124" s="9"/>
      <c r="C124" s="3">
        <f t="shared" si="2"/>
        <v>2006</v>
      </c>
      <c r="D124" s="2">
        <v>107</v>
      </c>
      <c r="E124" s="6">
        <v>1</v>
      </c>
    </row>
    <row r="125" spans="1:5" ht="17" thickBot="1">
      <c r="A125">
        <f t="shared" si="3"/>
        <v>60</v>
      </c>
      <c r="B125" s="8" t="s">
        <v>58</v>
      </c>
      <c r="C125" s="3">
        <f t="shared" si="2"/>
        <v>2018</v>
      </c>
      <c r="D125" s="2">
        <v>11</v>
      </c>
      <c r="E125" s="6">
        <v>4</v>
      </c>
    </row>
    <row r="126" spans="1:5" ht="17" thickBot="1">
      <c r="A126">
        <f t="shared" si="3"/>
        <v>60</v>
      </c>
      <c r="B126" s="9"/>
      <c r="C126" s="3">
        <f t="shared" si="2"/>
        <v>2018</v>
      </c>
      <c r="D126" s="2">
        <v>11</v>
      </c>
      <c r="E126" s="6">
        <v>1</v>
      </c>
    </row>
    <row r="127" spans="1:5" ht="17" thickBot="1">
      <c r="A127">
        <f t="shared" si="3"/>
        <v>61</v>
      </c>
      <c r="B127" s="8" t="s">
        <v>59</v>
      </c>
      <c r="C127" s="3">
        <f t="shared" si="2"/>
        <v>2004</v>
      </c>
      <c r="D127" s="2">
        <v>15</v>
      </c>
      <c r="E127" s="6">
        <v>2</v>
      </c>
    </row>
    <row r="128" spans="1:5" ht="17" thickBot="1">
      <c r="A128">
        <f t="shared" si="3"/>
        <v>61</v>
      </c>
      <c r="B128" s="9"/>
      <c r="C128" s="3">
        <f t="shared" si="2"/>
        <v>2004</v>
      </c>
      <c r="D128" s="2">
        <v>31</v>
      </c>
      <c r="E128" s="6">
        <v>1</v>
      </c>
    </row>
    <row r="129" spans="1:5" ht="17" thickBot="1">
      <c r="A129">
        <f t="shared" si="3"/>
        <v>62</v>
      </c>
      <c r="B129" s="8" t="s">
        <v>60</v>
      </c>
      <c r="C129" s="3">
        <f t="shared" si="2"/>
        <v>2014</v>
      </c>
      <c r="D129" s="2">
        <v>37</v>
      </c>
      <c r="E129" s="6">
        <v>6</v>
      </c>
    </row>
    <row r="130" spans="1:5" ht="17" thickBot="1">
      <c r="A130">
        <f t="shared" si="3"/>
        <v>62</v>
      </c>
      <c r="B130" s="9"/>
      <c r="C130" s="3">
        <f t="shared" si="2"/>
        <v>2014</v>
      </c>
      <c r="D130" s="2">
        <v>37</v>
      </c>
      <c r="E130" s="6">
        <v>1</v>
      </c>
    </row>
    <row r="131" spans="1:5" ht="17" thickBot="1">
      <c r="A131">
        <f t="shared" si="3"/>
        <v>63</v>
      </c>
      <c r="B131" s="8" t="s">
        <v>61</v>
      </c>
      <c r="C131" s="3">
        <f t="shared" ref="C131:C150" si="4">IF(B131="",
    C130,
    IFERROR(--_xlfn.TEXTAFTER(B131,", ",-1),"")
)</f>
        <v>2008</v>
      </c>
      <c r="D131" s="2">
        <v>48</v>
      </c>
      <c r="E131" s="6">
        <v>6</v>
      </c>
    </row>
    <row r="132" spans="1:5" ht="17" thickBot="1">
      <c r="A132">
        <f t="shared" ref="A132:A150" si="5">IF(B132="",A131,A131+1)</f>
        <v>63</v>
      </c>
      <c r="B132" s="9"/>
      <c r="C132" s="3">
        <f t="shared" si="4"/>
        <v>2008</v>
      </c>
      <c r="D132" s="2">
        <v>48</v>
      </c>
      <c r="E132" s="6">
        <v>1</v>
      </c>
    </row>
    <row r="133" spans="1:5" ht="17" thickBot="1">
      <c r="A133">
        <f t="shared" si="5"/>
        <v>64</v>
      </c>
      <c r="B133" s="8" t="s">
        <v>62</v>
      </c>
      <c r="C133" s="3">
        <f t="shared" si="4"/>
        <v>2009</v>
      </c>
      <c r="D133" s="2">
        <v>35</v>
      </c>
      <c r="E133" s="6">
        <v>6</v>
      </c>
    </row>
    <row r="134" spans="1:5" ht="17" thickBot="1">
      <c r="A134">
        <f t="shared" si="5"/>
        <v>64</v>
      </c>
      <c r="B134" s="9"/>
      <c r="C134" s="3">
        <f t="shared" si="4"/>
        <v>2009</v>
      </c>
      <c r="D134" s="2">
        <v>35</v>
      </c>
      <c r="E134" s="6">
        <v>1</v>
      </c>
    </row>
    <row r="135" spans="1:5" ht="17" thickBot="1">
      <c r="A135">
        <f t="shared" si="5"/>
        <v>65</v>
      </c>
      <c r="B135" s="8" t="s">
        <v>63</v>
      </c>
      <c r="C135" s="3">
        <f t="shared" si="4"/>
        <v>2010</v>
      </c>
      <c r="D135" s="2">
        <v>47</v>
      </c>
      <c r="E135" s="6">
        <v>8</v>
      </c>
    </row>
    <row r="136" spans="1:5" ht="17" thickBot="1">
      <c r="A136">
        <f t="shared" si="5"/>
        <v>65</v>
      </c>
      <c r="B136" s="9"/>
      <c r="C136" s="3">
        <f t="shared" si="4"/>
        <v>2010</v>
      </c>
      <c r="D136" s="2">
        <v>48</v>
      </c>
      <c r="E136" s="6">
        <v>1</v>
      </c>
    </row>
    <row r="137" spans="1:5" ht="17" thickBot="1">
      <c r="A137">
        <f t="shared" si="5"/>
        <v>66</v>
      </c>
      <c r="B137" s="8" t="s">
        <v>64</v>
      </c>
      <c r="C137" s="3">
        <f t="shared" si="4"/>
        <v>2011</v>
      </c>
      <c r="D137" s="2">
        <v>150</v>
      </c>
      <c r="E137" s="6">
        <v>6</v>
      </c>
    </row>
    <row r="138" spans="1:5" ht="17" thickBot="1">
      <c r="A138">
        <f t="shared" si="5"/>
        <v>66</v>
      </c>
      <c r="B138" s="9"/>
      <c r="C138" s="3">
        <f t="shared" si="4"/>
        <v>2011</v>
      </c>
      <c r="D138" s="2">
        <v>150</v>
      </c>
      <c r="E138" s="6">
        <v>1</v>
      </c>
    </row>
    <row r="139" spans="1:5" ht="17" thickBot="1">
      <c r="A139">
        <f t="shared" si="5"/>
        <v>67</v>
      </c>
      <c r="B139" s="8" t="s">
        <v>65</v>
      </c>
      <c r="C139" s="3">
        <f t="shared" si="4"/>
        <v>2016</v>
      </c>
      <c r="D139" s="2">
        <v>45</v>
      </c>
      <c r="E139" s="6">
        <v>8</v>
      </c>
    </row>
    <row r="140" spans="1:5" ht="17" thickBot="1">
      <c r="A140">
        <f t="shared" si="5"/>
        <v>67</v>
      </c>
      <c r="B140" s="9"/>
      <c r="C140" s="3">
        <f t="shared" si="4"/>
        <v>2016</v>
      </c>
      <c r="D140" s="2">
        <v>45</v>
      </c>
      <c r="E140" s="6">
        <v>1</v>
      </c>
    </row>
    <row r="141" spans="1:5" ht="17" thickBot="1">
      <c r="A141">
        <f t="shared" si="5"/>
        <v>68</v>
      </c>
      <c r="B141" s="8" t="s">
        <v>66</v>
      </c>
      <c r="C141" s="3">
        <f t="shared" si="4"/>
        <v>2001</v>
      </c>
      <c r="D141" s="2">
        <v>119</v>
      </c>
      <c r="E141" s="6">
        <v>2</v>
      </c>
    </row>
    <row r="142" spans="1:5" ht="17" thickBot="1">
      <c r="A142">
        <f t="shared" si="5"/>
        <v>68</v>
      </c>
      <c r="B142" s="9"/>
      <c r="C142" s="3">
        <f t="shared" si="4"/>
        <v>2001</v>
      </c>
      <c r="D142" s="2">
        <v>236</v>
      </c>
      <c r="E142" s="6">
        <v>1</v>
      </c>
    </row>
    <row r="143" spans="1:5" ht="17" thickBot="1">
      <c r="A143">
        <f t="shared" si="5"/>
        <v>69</v>
      </c>
      <c r="B143" s="8" t="s">
        <v>67</v>
      </c>
      <c r="C143" s="3">
        <f t="shared" si="4"/>
        <v>2017</v>
      </c>
      <c r="D143" s="2">
        <v>64</v>
      </c>
      <c r="E143" s="6">
        <v>1</v>
      </c>
    </row>
    <row r="144" spans="1:5" ht="17" thickBot="1">
      <c r="A144">
        <f t="shared" si="5"/>
        <v>69</v>
      </c>
      <c r="B144" s="9"/>
      <c r="C144" s="3">
        <f t="shared" si="4"/>
        <v>2017</v>
      </c>
      <c r="D144" s="2">
        <v>65</v>
      </c>
      <c r="E144" s="6">
        <v>2</v>
      </c>
    </row>
    <row r="145" spans="1:5" ht="17" thickBot="1">
      <c r="A145">
        <f t="shared" si="5"/>
        <v>70</v>
      </c>
      <c r="B145" s="8" t="s">
        <v>68</v>
      </c>
      <c r="C145" s="3">
        <f t="shared" si="4"/>
        <v>2005</v>
      </c>
      <c r="D145" s="2">
        <v>65</v>
      </c>
      <c r="E145" s="6">
        <v>6</v>
      </c>
    </row>
    <row r="146" spans="1:5" ht="17" thickBot="1">
      <c r="A146">
        <f t="shared" si="5"/>
        <v>70</v>
      </c>
      <c r="B146" s="9"/>
      <c r="C146" s="3">
        <f t="shared" si="4"/>
        <v>2005</v>
      </c>
      <c r="D146" s="2">
        <v>66</v>
      </c>
      <c r="E146" s="6">
        <v>1</v>
      </c>
    </row>
    <row r="147" spans="1:5" ht="17" thickBot="1">
      <c r="A147">
        <f t="shared" si="5"/>
        <v>71</v>
      </c>
      <c r="B147" s="8" t="s">
        <v>69</v>
      </c>
      <c r="C147" s="3">
        <f t="shared" si="4"/>
        <v>2020</v>
      </c>
      <c r="D147" s="2">
        <v>273</v>
      </c>
      <c r="E147" s="6">
        <v>6</v>
      </c>
    </row>
    <row r="148" spans="1:5" ht="17" thickBot="1">
      <c r="A148">
        <f t="shared" si="5"/>
        <v>71</v>
      </c>
      <c r="B148" s="9"/>
      <c r="C148" s="3">
        <f t="shared" si="4"/>
        <v>2020</v>
      </c>
      <c r="D148" s="2">
        <v>273</v>
      </c>
      <c r="E148" s="6">
        <v>1</v>
      </c>
    </row>
    <row r="149" spans="1:5" ht="17" thickBot="1">
      <c r="A149">
        <f t="shared" si="5"/>
        <v>72</v>
      </c>
      <c r="B149" s="8" t="s">
        <v>70</v>
      </c>
      <c r="C149" s="3">
        <f t="shared" si="4"/>
        <v>2009</v>
      </c>
      <c r="D149" s="2">
        <v>109</v>
      </c>
      <c r="E149" s="6">
        <v>7</v>
      </c>
    </row>
    <row r="150" spans="1:5" ht="17" thickBot="1">
      <c r="A150">
        <f t="shared" si="5"/>
        <v>72</v>
      </c>
      <c r="B150" s="9"/>
      <c r="C150" s="3">
        <f t="shared" si="4"/>
        <v>2009</v>
      </c>
      <c r="D150" s="2">
        <v>111</v>
      </c>
      <c r="E150" s="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2026-02-23T19:26:59Z</dcterms:created>
  <dcterms:modified xsi:type="dcterms:W3CDTF">2026-02-23T20:15:56Z</dcterms:modified>
</cp:coreProperties>
</file>