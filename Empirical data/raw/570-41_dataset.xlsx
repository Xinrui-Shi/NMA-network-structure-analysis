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192" documentId="8_{7E8A2878-17C6-42BC-A8B7-C35A8C1A2875}" xr6:coauthVersionLast="47" xr6:coauthVersionMax="47" xr10:uidLastSave="{7BE356E6-6089-4A35-83AF-F2B70C40E42B}"/>
  <bookViews>
    <workbookView xWindow="16530" yWindow="90" windowWidth="12195" windowHeight="15375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2" i="1"/>
</calcChain>
</file>

<file path=xl/sharedStrings.xml><?xml version="1.0" encoding="utf-8"?>
<sst xmlns="http://schemas.openxmlformats.org/spreadsheetml/2006/main" count="96" uniqueCount="70">
  <si>
    <t>StudyName</t>
  </si>
  <si>
    <t>StudyID</t>
  </si>
  <si>
    <t>t1</t>
  </si>
  <si>
    <t>n1</t>
  </si>
  <si>
    <t>t2</t>
  </si>
  <si>
    <t>n2</t>
  </si>
  <si>
    <t>t3</t>
  </si>
  <si>
    <t>n3</t>
  </si>
  <si>
    <t>Treatments</t>
  </si>
  <si>
    <t>aspirin</t>
  </si>
  <si>
    <t>r1</t>
  </si>
  <si>
    <t>r2</t>
  </si>
  <si>
    <t>r3</t>
  </si>
  <si>
    <t>y1</t>
  </si>
  <si>
    <t>sd1</t>
  </si>
  <si>
    <t>y2</t>
  </si>
  <si>
    <t>sd2</t>
  </si>
  <si>
    <t>y3</t>
  </si>
  <si>
    <t>sd3</t>
  </si>
  <si>
    <t>time1</t>
  </si>
  <si>
    <t>time2</t>
  </si>
  <si>
    <t>time3</t>
  </si>
  <si>
    <t>Author1</t>
  </si>
  <si>
    <t>Author2</t>
  </si>
  <si>
    <t>Year</t>
  </si>
  <si>
    <t>placebo</t>
  </si>
  <si>
    <t>paracetamol</t>
  </si>
  <si>
    <t>ibruprofen</t>
  </si>
  <si>
    <t>t4</t>
  </si>
  <si>
    <t>n4</t>
  </si>
  <si>
    <t>An T 2017</t>
  </si>
  <si>
    <t>Cao HJ 2022</t>
  </si>
  <si>
    <t>Dang BQ 2019</t>
  </si>
  <si>
    <t>Duan HY 2018</t>
  </si>
  <si>
    <t>Gu SY 2017</t>
  </si>
  <si>
    <t>Hordacre B 2021</t>
  </si>
  <si>
    <t>Hu JL 2021</t>
  </si>
  <si>
    <t>Jiang LL 2021</t>
  </si>
  <si>
    <t>Li HY 2018</t>
  </si>
  <si>
    <t>Li T 2021</t>
  </si>
  <si>
    <t>Li YM 2022 (a)</t>
  </si>
  <si>
    <t>Li YM 2022 (b)</t>
  </si>
  <si>
    <t>Liu B 2019</t>
  </si>
  <si>
    <t>Liu J 2012</t>
  </si>
  <si>
    <t>Liu SJ 2021</t>
  </si>
  <si>
    <t>Ma J 2012</t>
  </si>
  <si>
    <t>Ma SY 2021</t>
  </si>
  <si>
    <t>Shi N 2022</t>
  </si>
  <si>
    <t>Su MX 2018</t>
  </si>
  <si>
    <t>Sun R 2022</t>
  </si>
  <si>
    <t>Sun YL 2021</t>
  </si>
  <si>
    <t>Tan H 2018</t>
  </si>
  <si>
    <t>Tan W 2017</t>
  </si>
  <si>
    <t>Valiengo L 2017</t>
  </si>
  <si>
    <t>Wang LL 2021</t>
  </si>
  <si>
    <t>Wang PZ 2008</t>
  </si>
  <si>
    <t>Yan TT 2010</t>
  </si>
  <si>
    <t>Yang L 2014</t>
  </si>
  <si>
    <t>Yang L 2018</t>
  </si>
  <si>
    <t>Yang MJ 2013</t>
  </si>
  <si>
    <t>Yang Q 2018</t>
  </si>
  <si>
    <t>Zheng LQ 2019</t>
  </si>
  <si>
    <t>Zhou LH 2016</t>
  </si>
  <si>
    <t>Sham</t>
  </si>
  <si>
    <t>atDCS</t>
  </si>
  <si>
    <t>dual tDCS</t>
  </si>
  <si>
    <t>LFrTMS</t>
  </si>
  <si>
    <t>HFrTMS</t>
  </si>
  <si>
    <t>dual rTMS</t>
  </si>
  <si>
    <t>dual LFrTMS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</si>
</sst>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selection activeCell="K34" sqref="K34"/>
    </sheetView>
  </sheetViews>
  <sheetFormatPr defaultRowHeight="15" x14ac:dyDescent="0.25"/>
  <cols>
    <col min="1" max="1" width="15.5703125" customWidth="1"/>
    <col min="2" max="2" width="5.140625" bestFit="1" customWidth="1"/>
    <col min="3" max="3" width="7.85546875" bestFit="1" customWidth="1"/>
    <col min="4" max="7" width="6.7109375" customWidth="1"/>
    <col min="8" max="10" width="5" customWidth="1"/>
  </cols>
  <sheetData>
    <row r="1" spans="1:14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4</v>
      </c>
      <c r="F1" s="1" t="s">
        <v>6</v>
      </c>
      <c r="G1" s="1" t="s">
        <v>28</v>
      </c>
      <c r="H1" s="1" t="s">
        <v>3</v>
      </c>
      <c r="I1" s="1" t="s">
        <v>5</v>
      </c>
      <c r="J1" s="1" t="s">
        <v>7</v>
      </c>
      <c r="K1" s="1" t="s">
        <v>29</v>
      </c>
      <c r="M1" s="1" t="s">
        <v>8</v>
      </c>
    </row>
    <row r="2" spans="1:14" x14ac:dyDescent="0.25">
      <c r="A2" t="s">
        <v>30</v>
      </c>
      <c r="B2" t="str">
        <f>RIGHT(A2,4)</f>
        <v>2017</v>
      </c>
      <c r="C2">
        <v>1</v>
      </c>
      <c r="D2">
        <v>3</v>
      </c>
      <c r="E2">
        <v>1</v>
      </c>
      <c r="H2">
        <v>20</v>
      </c>
      <c r="I2">
        <v>20</v>
      </c>
      <c r="M2">
        <v>1</v>
      </c>
      <c r="N2" t="s">
        <v>63</v>
      </c>
    </row>
    <row r="3" spans="1:14" x14ac:dyDescent="0.25">
      <c r="A3" t="s">
        <v>31</v>
      </c>
      <c r="B3" t="str">
        <f t="shared" ref="B3:B34" si="0">RIGHT(A3,4)</f>
        <v>2022</v>
      </c>
      <c r="C3">
        <v>2</v>
      </c>
      <c r="D3">
        <v>5</v>
      </c>
      <c r="E3">
        <v>1</v>
      </c>
      <c r="H3">
        <v>20</v>
      </c>
      <c r="I3">
        <v>20</v>
      </c>
      <c r="M3">
        <v>2</v>
      </c>
      <c r="N3" t="s">
        <v>64</v>
      </c>
    </row>
    <row r="4" spans="1:14" x14ac:dyDescent="0.25">
      <c r="A4" t="s">
        <v>32</v>
      </c>
      <c r="B4" t="str">
        <f t="shared" si="0"/>
        <v>2019</v>
      </c>
      <c r="C4">
        <v>3</v>
      </c>
      <c r="D4">
        <v>5</v>
      </c>
      <c r="E4">
        <v>1</v>
      </c>
      <c r="H4">
        <v>20</v>
      </c>
      <c r="I4">
        <v>20</v>
      </c>
      <c r="M4">
        <v>3</v>
      </c>
      <c r="N4" t="s">
        <v>65</v>
      </c>
    </row>
    <row r="5" spans="1:14" x14ac:dyDescent="0.25">
      <c r="A5" t="s">
        <v>33</v>
      </c>
      <c r="B5" t="str">
        <f t="shared" si="0"/>
        <v>2018</v>
      </c>
      <c r="C5">
        <v>4</v>
      </c>
      <c r="D5">
        <v>4</v>
      </c>
      <c r="E5">
        <v>1</v>
      </c>
      <c r="H5">
        <v>32</v>
      </c>
      <c r="I5">
        <v>32</v>
      </c>
      <c r="M5">
        <v>4</v>
      </c>
      <c r="N5" t="s">
        <v>66</v>
      </c>
    </row>
    <row r="6" spans="1:14" x14ac:dyDescent="0.25">
      <c r="A6" t="s">
        <v>34</v>
      </c>
      <c r="B6" t="str">
        <f t="shared" si="0"/>
        <v>2017</v>
      </c>
      <c r="C6">
        <v>5</v>
      </c>
      <c r="D6">
        <v>5</v>
      </c>
      <c r="E6">
        <v>1</v>
      </c>
      <c r="H6">
        <v>12</v>
      </c>
      <c r="I6">
        <v>12</v>
      </c>
      <c r="M6">
        <v>5</v>
      </c>
      <c r="N6" t="s">
        <v>67</v>
      </c>
    </row>
    <row r="7" spans="1:14" x14ac:dyDescent="0.25">
      <c r="A7" t="s">
        <v>35</v>
      </c>
      <c r="B7" t="str">
        <f t="shared" si="0"/>
        <v>2021</v>
      </c>
      <c r="C7">
        <v>6</v>
      </c>
      <c r="D7">
        <v>5</v>
      </c>
      <c r="E7">
        <v>1</v>
      </c>
      <c r="H7">
        <v>6</v>
      </c>
      <c r="I7">
        <v>5</v>
      </c>
      <c r="M7">
        <v>6</v>
      </c>
      <c r="N7" t="s">
        <v>68</v>
      </c>
    </row>
    <row r="8" spans="1:14" x14ac:dyDescent="0.25">
      <c r="A8" t="s">
        <v>36</v>
      </c>
      <c r="B8" t="str">
        <f t="shared" si="0"/>
        <v>2021</v>
      </c>
      <c r="C8">
        <v>7</v>
      </c>
      <c r="D8">
        <v>5</v>
      </c>
      <c r="E8">
        <v>5</v>
      </c>
      <c r="F8">
        <v>1</v>
      </c>
      <c r="H8">
        <v>13</v>
      </c>
      <c r="I8">
        <v>14</v>
      </c>
      <c r="J8">
        <v>14</v>
      </c>
      <c r="M8">
        <v>7</v>
      </c>
      <c r="N8" t="s">
        <v>69</v>
      </c>
    </row>
    <row r="9" spans="1:14" x14ac:dyDescent="0.25">
      <c r="A9" t="s">
        <v>37</v>
      </c>
      <c r="B9" t="str">
        <f t="shared" si="0"/>
        <v>2021</v>
      </c>
      <c r="C9">
        <v>8</v>
      </c>
      <c r="D9">
        <v>5</v>
      </c>
      <c r="E9">
        <v>1</v>
      </c>
      <c r="H9">
        <v>24</v>
      </c>
      <c r="I9">
        <v>24</v>
      </c>
    </row>
    <row r="10" spans="1:14" x14ac:dyDescent="0.25">
      <c r="A10" t="s">
        <v>38</v>
      </c>
      <c r="B10" t="str">
        <f t="shared" si="0"/>
        <v>2018</v>
      </c>
      <c r="C10">
        <v>9</v>
      </c>
      <c r="D10">
        <v>3</v>
      </c>
      <c r="E10">
        <v>1</v>
      </c>
      <c r="H10">
        <v>10</v>
      </c>
      <c r="I10">
        <v>12</v>
      </c>
    </row>
    <row r="11" spans="1:14" x14ac:dyDescent="0.25">
      <c r="A11" t="s">
        <v>39</v>
      </c>
      <c r="B11" t="str">
        <f t="shared" si="0"/>
        <v>2021</v>
      </c>
      <c r="C11">
        <v>10</v>
      </c>
      <c r="D11">
        <v>3</v>
      </c>
      <c r="E11">
        <v>1</v>
      </c>
      <c r="H11">
        <v>20</v>
      </c>
      <c r="I11">
        <v>20</v>
      </c>
    </row>
    <row r="12" spans="1:14" x14ac:dyDescent="0.25">
      <c r="A12" t="s">
        <v>40</v>
      </c>
      <c r="B12">
        <v>2022</v>
      </c>
      <c r="C12">
        <v>11</v>
      </c>
      <c r="D12">
        <v>5</v>
      </c>
      <c r="E12">
        <v>1</v>
      </c>
      <c r="H12">
        <v>16</v>
      </c>
      <c r="I12">
        <v>16</v>
      </c>
    </row>
    <row r="13" spans="1:14" x14ac:dyDescent="0.25">
      <c r="A13" t="s">
        <v>41</v>
      </c>
      <c r="B13">
        <v>2022</v>
      </c>
      <c r="C13">
        <v>12</v>
      </c>
      <c r="D13">
        <v>5</v>
      </c>
      <c r="E13">
        <v>1</v>
      </c>
      <c r="H13">
        <v>15</v>
      </c>
      <c r="I13">
        <v>15</v>
      </c>
    </row>
    <row r="14" spans="1:14" x14ac:dyDescent="0.25">
      <c r="A14" t="s">
        <v>42</v>
      </c>
      <c r="B14" t="str">
        <f t="shared" si="0"/>
        <v>2019</v>
      </c>
      <c r="C14">
        <v>13</v>
      </c>
      <c r="D14">
        <v>2</v>
      </c>
      <c r="E14">
        <v>1</v>
      </c>
      <c r="H14">
        <v>28</v>
      </c>
      <c r="I14">
        <v>27</v>
      </c>
    </row>
    <row r="15" spans="1:14" x14ac:dyDescent="0.25">
      <c r="A15" t="s">
        <v>43</v>
      </c>
      <c r="B15" t="str">
        <f t="shared" si="0"/>
        <v>2012</v>
      </c>
      <c r="C15">
        <v>14</v>
      </c>
      <c r="D15">
        <v>5</v>
      </c>
      <c r="E15">
        <v>1</v>
      </c>
      <c r="H15">
        <v>30</v>
      </c>
      <c r="I15">
        <v>30</v>
      </c>
    </row>
    <row r="16" spans="1:14" x14ac:dyDescent="0.25">
      <c r="A16" t="s">
        <v>44</v>
      </c>
      <c r="B16" t="str">
        <f t="shared" si="0"/>
        <v>2021</v>
      </c>
      <c r="C16">
        <v>15</v>
      </c>
      <c r="D16">
        <v>5</v>
      </c>
      <c r="E16">
        <v>1</v>
      </c>
      <c r="H16">
        <v>60</v>
      </c>
      <c r="I16">
        <v>60</v>
      </c>
    </row>
    <row r="17" spans="1:11" x14ac:dyDescent="0.25">
      <c r="A17" t="s">
        <v>45</v>
      </c>
      <c r="B17" t="str">
        <f t="shared" si="0"/>
        <v>2012</v>
      </c>
      <c r="C17">
        <v>16</v>
      </c>
      <c r="D17">
        <v>4</v>
      </c>
      <c r="E17">
        <v>1</v>
      </c>
      <c r="H17">
        <v>12</v>
      </c>
      <c r="I17">
        <v>12</v>
      </c>
    </row>
    <row r="18" spans="1:11" x14ac:dyDescent="0.25">
      <c r="A18" t="s">
        <v>46</v>
      </c>
      <c r="B18" t="str">
        <f t="shared" si="0"/>
        <v>2021</v>
      </c>
      <c r="C18">
        <v>17</v>
      </c>
      <c r="D18">
        <v>6</v>
      </c>
      <c r="E18">
        <v>1</v>
      </c>
      <c r="H18">
        <v>20</v>
      </c>
      <c r="I18">
        <v>20</v>
      </c>
    </row>
    <row r="19" spans="1:11" x14ac:dyDescent="0.25">
      <c r="A19" t="s">
        <v>47</v>
      </c>
      <c r="B19" t="str">
        <f t="shared" si="0"/>
        <v>2022</v>
      </c>
      <c r="C19">
        <v>18</v>
      </c>
      <c r="D19">
        <v>5</v>
      </c>
      <c r="E19">
        <v>1</v>
      </c>
      <c r="H19">
        <v>60</v>
      </c>
      <c r="I19">
        <v>60</v>
      </c>
    </row>
    <row r="20" spans="1:11" x14ac:dyDescent="0.25">
      <c r="A20" t="s">
        <v>48</v>
      </c>
      <c r="B20" t="str">
        <f t="shared" si="0"/>
        <v>2018</v>
      </c>
      <c r="C20">
        <v>19</v>
      </c>
      <c r="D20">
        <v>3</v>
      </c>
      <c r="E20">
        <v>1</v>
      </c>
      <c r="H20">
        <v>24</v>
      </c>
      <c r="I20">
        <v>23</v>
      </c>
    </row>
    <row r="21" spans="1:11" x14ac:dyDescent="0.25">
      <c r="A21" t="s">
        <v>49</v>
      </c>
      <c r="B21" t="str">
        <f t="shared" si="0"/>
        <v>2022</v>
      </c>
      <c r="C21">
        <v>20</v>
      </c>
      <c r="D21">
        <v>5</v>
      </c>
      <c r="E21">
        <v>4</v>
      </c>
      <c r="F21">
        <v>1</v>
      </c>
      <c r="H21">
        <v>20</v>
      </c>
      <c r="I21">
        <v>20</v>
      </c>
      <c r="J21">
        <v>20</v>
      </c>
    </row>
    <row r="22" spans="1:11" x14ac:dyDescent="0.25">
      <c r="A22" t="s">
        <v>50</v>
      </c>
      <c r="B22" t="str">
        <f t="shared" si="0"/>
        <v>2021</v>
      </c>
      <c r="C22">
        <v>21</v>
      </c>
      <c r="D22">
        <v>5</v>
      </c>
      <c r="E22">
        <v>1</v>
      </c>
      <c r="H22">
        <v>25</v>
      </c>
      <c r="I22">
        <v>25</v>
      </c>
    </row>
    <row r="23" spans="1:11" x14ac:dyDescent="0.25">
      <c r="A23" t="s">
        <v>51</v>
      </c>
      <c r="B23" t="str">
        <f t="shared" si="0"/>
        <v>2018</v>
      </c>
      <c r="C23">
        <v>22</v>
      </c>
      <c r="D23">
        <v>4</v>
      </c>
      <c r="E23">
        <v>1</v>
      </c>
      <c r="H23">
        <v>26</v>
      </c>
      <c r="I23">
        <v>28</v>
      </c>
    </row>
    <row r="24" spans="1:11" x14ac:dyDescent="0.25">
      <c r="A24" t="s">
        <v>52</v>
      </c>
      <c r="B24" t="str">
        <f t="shared" si="0"/>
        <v>2017</v>
      </c>
      <c r="C24">
        <v>23</v>
      </c>
      <c r="D24">
        <v>5</v>
      </c>
      <c r="E24">
        <v>1</v>
      </c>
      <c r="H24">
        <v>30</v>
      </c>
      <c r="I24">
        <v>30</v>
      </c>
    </row>
    <row r="25" spans="1:11" x14ac:dyDescent="0.25">
      <c r="A25" t="s">
        <v>53</v>
      </c>
      <c r="B25" t="str">
        <f t="shared" si="0"/>
        <v>2017</v>
      </c>
      <c r="C25">
        <v>24</v>
      </c>
      <c r="D25">
        <v>3</v>
      </c>
      <c r="E25">
        <v>1</v>
      </c>
      <c r="H25">
        <v>24</v>
      </c>
      <c r="I25">
        <v>24</v>
      </c>
    </row>
    <row r="26" spans="1:11" x14ac:dyDescent="0.25">
      <c r="A26" t="s">
        <v>54</v>
      </c>
      <c r="B26" t="str">
        <f t="shared" si="0"/>
        <v>2021</v>
      </c>
      <c r="C26">
        <v>25</v>
      </c>
      <c r="D26">
        <v>4</v>
      </c>
      <c r="E26">
        <v>5</v>
      </c>
      <c r="F26">
        <v>5</v>
      </c>
      <c r="G26">
        <v>1</v>
      </c>
      <c r="H26">
        <v>20</v>
      </c>
      <c r="I26">
        <v>20</v>
      </c>
      <c r="J26">
        <v>19</v>
      </c>
      <c r="K26">
        <v>20</v>
      </c>
    </row>
    <row r="27" spans="1:11" x14ac:dyDescent="0.25">
      <c r="A27" t="s">
        <v>55</v>
      </c>
      <c r="B27" t="str">
        <f t="shared" si="0"/>
        <v>2008</v>
      </c>
      <c r="C27">
        <v>26</v>
      </c>
      <c r="D27">
        <v>7</v>
      </c>
      <c r="E27">
        <v>1</v>
      </c>
      <c r="H27">
        <v>30</v>
      </c>
      <c r="I27">
        <v>30</v>
      </c>
    </row>
    <row r="28" spans="1:11" x14ac:dyDescent="0.25">
      <c r="A28" t="s">
        <v>56</v>
      </c>
      <c r="B28" t="str">
        <f t="shared" si="0"/>
        <v>2010</v>
      </c>
      <c r="C28">
        <v>27</v>
      </c>
      <c r="D28">
        <v>5</v>
      </c>
      <c r="E28">
        <v>4</v>
      </c>
      <c r="F28">
        <v>1</v>
      </c>
      <c r="H28">
        <v>20</v>
      </c>
      <c r="I28">
        <v>20</v>
      </c>
      <c r="J28">
        <v>20</v>
      </c>
    </row>
    <row r="29" spans="1:11" x14ac:dyDescent="0.25">
      <c r="A29" t="s">
        <v>57</v>
      </c>
      <c r="B29" t="str">
        <f t="shared" si="0"/>
        <v>2014</v>
      </c>
      <c r="C29">
        <v>28</v>
      </c>
      <c r="D29">
        <v>4</v>
      </c>
      <c r="E29">
        <v>5</v>
      </c>
      <c r="F29">
        <v>1</v>
      </c>
      <c r="H29">
        <v>37</v>
      </c>
      <c r="I29">
        <v>37</v>
      </c>
      <c r="J29">
        <v>37</v>
      </c>
    </row>
    <row r="30" spans="1:11" x14ac:dyDescent="0.25">
      <c r="A30" t="s">
        <v>58</v>
      </c>
      <c r="B30" t="str">
        <f t="shared" si="0"/>
        <v>2018</v>
      </c>
      <c r="C30">
        <v>29</v>
      </c>
      <c r="D30">
        <v>5</v>
      </c>
      <c r="E30">
        <v>1</v>
      </c>
      <c r="H30">
        <v>38</v>
      </c>
      <c r="I30">
        <v>38</v>
      </c>
    </row>
    <row r="31" spans="1:11" x14ac:dyDescent="0.25">
      <c r="A31" t="s">
        <v>59</v>
      </c>
      <c r="B31" t="str">
        <f t="shared" si="0"/>
        <v>2013</v>
      </c>
      <c r="C31">
        <v>30</v>
      </c>
      <c r="D31">
        <v>5</v>
      </c>
      <c r="E31">
        <v>1</v>
      </c>
      <c r="H31">
        <v>19</v>
      </c>
      <c r="I31">
        <v>19</v>
      </c>
    </row>
    <row r="32" spans="1:11" x14ac:dyDescent="0.25">
      <c r="A32" t="s">
        <v>60</v>
      </c>
      <c r="B32" t="str">
        <f t="shared" si="0"/>
        <v>2018</v>
      </c>
      <c r="C32">
        <v>31</v>
      </c>
      <c r="D32">
        <v>5</v>
      </c>
      <c r="E32">
        <v>4</v>
      </c>
      <c r="F32">
        <v>1</v>
      </c>
      <c r="H32">
        <v>40</v>
      </c>
      <c r="I32">
        <v>40</v>
      </c>
      <c r="J32">
        <v>40</v>
      </c>
    </row>
    <row r="33" spans="1:10" x14ac:dyDescent="0.25">
      <c r="A33" t="s">
        <v>61</v>
      </c>
      <c r="B33" t="str">
        <f t="shared" si="0"/>
        <v>2019</v>
      </c>
      <c r="C33">
        <v>32</v>
      </c>
      <c r="D33">
        <v>5</v>
      </c>
      <c r="E33">
        <v>1</v>
      </c>
      <c r="H33">
        <v>48</v>
      </c>
      <c r="I33">
        <v>48</v>
      </c>
    </row>
    <row r="34" spans="1:10" x14ac:dyDescent="0.25">
      <c r="A34" t="s">
        <v>62</v>
      </c>
      <c r="B34" t="str">
        <f t="shared" si="0"/>
        <v>2016</v>
      </c>
      <c r="C34">
        <v>33</v>
      </c>
      <c r="D34">
        <v>4</v>
      </c>
      <c r="E34">
        <v>5</v>
      </c>
      <c r="F34">
        <v>1</v>
      </c>
      <c r="H34">
        <v>24</v>
      </c>
      <c r="I34">
        <v>24</v>
      </c>
      <c r="J34">
        <v>25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R5"/>
  <sheetViews>
    <sheetView workbookViewId="0">
      <selection activeCell="F14" sqref="F14"/>
    </sheetView>
  </sheetViews>
  <sheetFormatPr defaultRowHeight="15" x14ac:dyDescent="0.25"/>
  <cols>
    <col min="1" max="1" width="10.42578125" bestFit="1" customWidth="1"/>
  </cols>
  <sheetData>
    <row r="1" spans="1:18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13</v>
      </c>
      <c r="G1" s="1" t="s">
        <v>14</v>
      </c>
      <c r="H1" s="1" t="s">
        <v>4</v>
      </c>
      <c r="I1" s="1" t="s">
        <v>5</v>
      </c>
      <c r="J1" s="1" t="s">
        <v>15</v>
      </c>
      <c r="K1" s="1" t="s">
        <v>16</v>
      </c>
      <c r="L1" s="1" t="s">
        <v>6</v>
      </c>
      <c r="M1" s="1" t="s">
        <v>7</v>
      </c>
      <c r="N1" s="1" t="s">
        <v>17</v>
      </c>
      <c r="O1" s="1" t="s">
        <v>18</v>
      </c>
      <c r="Q1" s="1" t="s">
        <v>8</v>
      </c>
    </row>
    <row r="2" spans="1:18" x14ac:dyDescent="0.25">
      <c r="A2" t="s">
        <v>22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H2">
        <v>2</v>
      </c>
      <c r="I2">
        <v>561</v>
      </c>
      <c r="J2">
        <v>4.2</v>
      </c>
      <c r="K2">
        <v>1.3</v>
      </c>
      <c r="Q2">
        <v>1</v>
      </c>
      <c r="R2" t="s">
        <v>25</v>
      </c>
    </row>
    <row r="3" spans="1:18" x14ac:dyDescent="0.25">
      <c r="A3" t="s">
        <v>23</v>
      </c>
      <c r="B3">
        <v>2017</v>
      </c>
      <c r="C3">
        <v>2</v>
      </c>
      <c r="D3">
        <v>2</v>
      </c>
      <c r="E3">
        <v>42</v>
      </c>
      <c r="F3">
        <v>3.7</v>
      </c>
      <c r="G3">
        <v>1.4</v>
      </c>
      <c r="H3">
        <v>3</v>
      </c>
      <c r="I3">
        <v>47</v>
      </c>
      <c r="J3">
        <v>2.2999999999999998</v>
      </c>
      <c r="K3">
        <v>0.9</v>
      </c>
      <c r="L3">
        <v>4</v>
      </c>
      <c r="M3">
        <v>39</v>
      </c>
      <c r="N3">
        <v>1.5</v>
      </c>
      <c r="O3">
        <v>0.6</v>
      </c>
      <c r="Q3">
        <v>2</v>
      </c>
      <c r="R3" t="s">
        <v>9</v>
      </c>
    </row>
    <row r="4" spans="1:18" x14ac:dyDescent="0.25">
      <c r="Q4">
        <v>3</v>
      </c>
      <c r="R4" t="s">
        <v>26</v>
      </c>
    </row>
    <row r="5" spans="1:18" x14ac:dyDescent="0.25">
      <c r="Q5">
        <v>4</v>
      </c>
      <c r="R5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EAB1-D77A-4A3F-B931-8CA19DAB910E}">
  <dimension ref="A1:R5"/>
  <sheetViews>
    <sheetView workbookViewId="0">
      <selection activeCell="O15" sqref="O15"/>
    </sheetView>
  </sheetViews>
  <sheetFormatPr defaultRowHeight="15" x14ac:dyDescent="0.25"/>
  <cols>
    <col min="1" max="1" width="10.42578125" bestFit="1" customWidth="1"/>
    <col min="2" max="2" width="10.42578125" customWidth="1"/>
  </cols>
  <sheetData>
    <row r="1" spans="1:18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10</v>
      </c>
      <c r="G1" s="1" t="s">
        <v>19</v>
      </c>
      <c r="H1" s="1" t="s">
        <v>4</v>
      </c>
      <c r="I1" s="1" t="s">
        <v>5</v>
      </c>
      <c r="J1" s="1" t="s">
        <v>11</v>
      </c>
      <c r="K1" s="1" t="s">
        <v>20</v>
      </c>
      <c r="L1" s="1" t="s">
        <v>6</v>
      </c>
      <c r="M1" s="1" t="s">
        <v>7</v>
      </c>
      <c r="N1" s="1" t="s">
        <v>12</v>
      </c>
      <c r="O1" s="1" t="s">
        <v>21</v>
      </c>
      <c r="Q1" s="1" t="s">
        <v>8</v>
      </c>
    </row>
    <row r="2" spans="1:18" x14ac:dyDescent="0.25">
      <c r="A2" t="s">
        <v>22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H2">
        <v>2</v>
      </c>
      <c r="I2">
        <v>561</v>
      </c>
      <c r="J2">
        <v>320</v>
      </c>
      <c r="K2">
        <v>150</v>
      </c>
      <c r="Q2">
        <v>1</v>
      </c>
      <c r="R2" t="s">
        <v>25</v>
      </c>
    </row>
    <row r="3" spans="1:18" x14ac:dyDescent="0.25">
      <c r="A3" t="s">
        <v>23</v>
      </c>
      <c r="B3">
        <v>2017</v>
      </c>
      <c r="C3">
        <v>2</v>
      </c>
      <c r="D3">
        <v>2</v>
      </c>
      <c r="E3">
        <v>42</v>
      </c>
      <c r="F3">
        <v>24</v>
      </c>
      <c r="G3">
        <v>210.5</v>
      </c>
      <c r="H3">
        <v>3</v>
      </c>
      <c r="I3">
        <v>47</v>
      </c>
      <c r="J3">
        <v>29</v>
      </c>
      <c r="K3">
        <v>189.5</v>
      </c>
      <c r="L3">
        <v>4</v>
      </c>
      <c r="M3">
        <v>39</v>
      </c>
      <c r="N3">
        <v>19</v>
      </c>
      <c r="O3">
        <v>126.8</v>
      </c>
      <c r="Q3">
        <v>2</v>
      </c>
      <c r="R3" t="s">
        <v>9</v>
      </c>
    </row>
    <row r="4" spans="1:18" x14ac:dyDescent="0.25">
      <c r="Q4">
        <v>3</v>
      </c>
      <c r="R4" t="s">
        <v>26</v>
      </c>
    </row>
    <row r="5" spans="1:18" x14ac:dyDescent="0.25">
      <c r="Q5">
        <v>4</v>
      </c>
      <c r="R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2025-01-15T13:27:07Z</dcterms:modified>
</cp:coreProperties>
</file>