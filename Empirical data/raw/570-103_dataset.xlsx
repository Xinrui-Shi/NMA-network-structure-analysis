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Data Extraction/"/>
    </mc:Choice>
  </mc:AlternateContent>
  <xr:revisionPtr revIDLastSave="0" documentId="8_{684963DE-A193-C94C-8072-5A03AC65B488}" xr6:coauthVersionLast="47" xr6:coauthVersionMax="47" xr10:uidLastSave="{00000000-0000-0000-0000-000000000000}"/>
  <bookViews>
    <workbookView xWindow="0" yWindow="740" windowWidth="30240" windowHeight="18900" xr2:uid="{CD7EB7B7-9DB8-A44A-970F-42E40DB8CB1B}"/>
  </bookViews>
  <sheets>
    <sheet name="Sheet1" sheetId="1" r:id="rId1"/>
    <sheet name="Sheet2" sheetId="2" r:id="rId2"/>
  </sheets>
  <definedNames>
    <definedName name="_xlnm._FilterDatabase" localSheetId="0" hidden="1">Sheet1!#REF!</definedName>
    <definedName name="_xlnm._FilterDatabase" localSheetId="1" hidden="1">Sheet2!$E$11:$E$65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</calcChain>
</file>

<file path=xl/sharedStrings.xml><?xml version="1.0" encoding="utf-8"?>
<sst xmlns="http://schemas.openxmlformats.org/spreadsheetml/2006/main" count="207" uniqueCount="158">
  <si>
    <t>Pioglitazone</t>
  </si>
  <si>
    <t>Placebo</t>
  </si>
  <si>
    <t>Lithium</t>
  </si>
  <si>
    <t>Sertraline</t>
  </si>
  <si>
    <t>Olanzapine</t>
  </si>
  <si>
    <t>Fluoxetine</t>
  </si>
  <si>
    <t>Venlafaxine</t>
  </si>
  <si>
    <t>Memantine</t>
  </si>
  <si>
    <t>Baskaran et al., 2013</t>
  </si>
  <si>
    <t>Ziprasidone</t>
  </si>
  <si>
    <t>Berk et al., 2019</t>
  </si>
  <si>
    <t>Lamotrigine</t>
  </si>
  <si>
    <t>Brown et al.,</t>
  </si>
  <si>
    <t>Calabrese et al., 2005</t>
  </si>
  <si>
    <t>Armodafinil</t>
  </si>
  <si>
    <t>Chengappa et al., 2000</t>
  </si>
  <si>
    <t>Inositol</t>
  </si>
  <si>
    <t>Cohn et al., 1989</t>
  </si>
  <si>
    <t>Imipramine</t>
  </si>
  <si>
    <t>Zonisamide</t>
  </si>
  <si>
    <t>Valproate</t>
  </si>
  <si>
    <t>Davis et al.,</t>
  </si>
  <si>
    <t>Modafinil</t>
  </si>
  <si>
    <t>Ghaemi et al., 2007</t>
  </si>
  <si>
    <t>Ghaemi et al., 2021</t>
  </si>
  <si>
    <t>Citalopram</t>
  </si>
  <si>
    <t>Pramipexole</t>
  </si>
  <si>
    <t>Grossman et al., 1999</t>
  </si>
  <si>
    <t>Idazoxan</t>
  </si>
  <si>
    <t>Bupropion</t>
  </si>
  <si>
    <t>Minocycline</t>
  </si>
  <si>
    <t>Celecoxib</t>
  </si>
  <si>
    <t>Year</t>
    <phoneticPr fontId="1" type="noConversion"/>
  </si>
  <si>
    <t>StudyName</t>
    <phoneticPr fontId="1" type="noConversion"/>
  </si>
  <si>
    <t>Aftab et al.</t>
    <phoneticPr fontId="1" type="noConversion"/>
  </si>
  <si>
    <t>Amsterdam&amp; Shultz</t>
    <phoneticPr fontId="1" type="noConversion"/>
  </si>
  <si>
    <t>Altshuler et al.</t>
    <phoneticPr fontId="1" type="noConversion"/>
  </si>
  <si>
    <t>Anand et al.</t>
    <phoneticPr fontId="1" type="noConversion"/>
  </si>
  <si>
    <t>Amsterdam et al.</t>
    <phoneticPr fontId="1" type="noConversion"/>
  </si>
  <si>
    <t>Nacetylcysteine</t>
    <phoneticPr fontId="1" type="noConversion"/>
  </si>
  <si>
    <t>CarnitinewLi poicA</t>
    <phoneticPr fontId="1" type="noConversion"/>
  </si>
  <si>
    <t>Brennan et al.</t>
    <phoneticPr fontId="1" type="noConversion"/>
  </si>
  <si>
    <t>Calabrase et al.</t>
    <phoneticPr fontId="1" type="noConversion"/>
  </si>
  <si>
    <t>Calabrese et al.</t>
    <phoneticPr fontId="1" type="noConversion"/>
  </si>
  <si>
    <t>Calabrese et al.2008, Study2</t>
    <phoneticPr fontId="1" type="noConversion"/>
  </si>
  <si>
    <t>Calabrese et al.2008, Study3</t>
    <phoneticPr fontId="1" type="noConversion"/>
  </si>
  <si>
    <t>Calabrese et al.2008, Study4</t>
    <phoneticPr fontId="1" type="noConversion"/>
  </si>
  <si>
    <t>Calabrese et al.2008, Study5</t>
    <phoneticPr fontId="1" type="noConversion"/>
  </si>
  <si>
    <t>Dauphinais et al., 2011</t>
    <phoneticPr fontId="1" type="noConversion"/>
  </si>
  <si>
    <t>Durgam et al., 2016</t>
    <phoneticPr fontId="1" type="noConversion"/>
  </si>
  <si>
    <t>Earley et al., 2019a</t>
    <phoneticPr fontId="1" type="noConversion"/>
  </si>
  <si>
    <t>Cariprazine</t>
    <phoneticPr fontId="1" type="noConversion"/>
  </si>
  <si>
    <t>Earley et al., 2019b</t>
    <phoneticPr fontId="1" type="noConversion"/>
  </si>
  <si>
    <t>Ellegaard et al., 2019</t>
    <phoneticPr fontId="1" type="noConversion"/>
  </si>
  <si>
    <t>Evins et al.,2006</t>
    <phoneticPr fontId="1" type="noConversion"/>
  </si>
  <si>
    <t>Frye et al.,2007</t>
    <phoneticPr fontId="1" type="noConversion"/>
  </si>
  <si>
    <t>Frye et al.,2015</t>
    <phoneticPr fontId="1" type="noConversion"/>
  </si>
  <si>
    <t>Geddes et al., 2016</t>
    <phoneticPr fontId="1" type="noConversion"/>
  </si>
  <si>
    <t>Goldberg et al., 2004</t>
    <phoneticPr fontId="1" type="noConversion"/>
  </si>
  <si>
    <t>Halaris et al., 2020</t>
    <phoneticPr fontId="1" type="noConversion"/>
  </si>
  <si>
    <t>Husain et al., 2020</t>
    <phoneticPr fontId="1" type="noConversion"/>
  </si>
  <si>
    <t>Kato et al., 2020</t>
    <phoneticPr fontId="1" type="noConversion"/>
  </si>
  <si>
    <t>Kemp et al.,2012</t>
    <phoneticPr fontId="1" type="noConversion"/>
  </si>
  <si>
    <t>Lurasidone</t>
  </si>
  <si>
    <t>Esamisulprid</t>
  </si>
  <si>
    <t>MarkoviZ 2018</t>
  </si>
  <si>
    <t>Selegiline</t>
  </si>
  <si>
    <t>Marsh et al., 2017</t>
  </si>
  <si>
    <t>Vit D</t>
  </si>
  <si>
    <t>Paroxetine</t>
  </si>
  <si>
    <t>Topiramate</t>
  </si>
  <si>
    <t>Infliximab</t>
  </si>
  <si>
    <t>Murasaki et al., 2018</t>
  </si>
  <si>
    <t>SAM</t>
  </si>
  <si>
    <t>Naltrexone</t>
  </si>
  <si>
    <t>Nemeroff et al., 2001</t>
  </si>
  <si>
    <t>Park et al., 2017</t>
  </si>
  <si>
    <t>Riluzole</t>
  </si>
  <si>
    <t>Post et al., 2006</t>
  </si>
  <si>
    <t>Aripiprazole</t>
  </si>
  <si>
    <t>Desipramine</t>
  </si>
  <si>
    <t>Sachs et al., 2011</t>
  </si>
  <si>
    <t>Savitz et al., 2018</t>
  </si>
  <si>
    <t>Aspirin</t>
  </si>
  <si>
    <t>Shelton &amp; Stahl 2004</t>
  </si>
  <si>
    <t>Risperidone</t>
  </si>
  <si>
    <t>Quetiapine</t>
  </si>
  <si>
    <t>Suppes et al., 2016</t>
  </si>
  <si>
    <t>Thase et al., 2006</t>
  </si>
  <si>
    <t>Tohen et al., 2003</t>
  </si>
  <si>
    <t>Tohen et al., 2012</t>
  </si>
  <si>
    <t>Ketter et al.,2015</t>
    <phoneticPr fontId="1" type="noConversion"/>
  </si>
  <si>
    <t>Lee et al.,2014</t>
    <phoneticPr fontId="1" type="noConversion"/>
  </si>
  <si>
    <t>Li et al., 2016</t>
    <phoneticPr fontId="1" type="noConversion"/>
  </si>
  <si>
    <t>Loebel et al., 2022 NCT035434</t>
    <phoneticPr fontId="1" type="noConversion"/>
  </si>
  <si>
    <t>Lombardo et al., 2012 A1281136</t>
    <phoneticPr fontId="1" type="noConversion"/>
  </si>
  <si>
    <t>Loebel et al., 2014 NCT00868452</t>
    <phoneticPr fontId="1" type="noConversion"/>
  </si>
  <si>
    <t>Lombardo et al., 2012 A1281139</t>
    <phoneticPr fontId="1" type="noConversion"/>
  </si>
  <si>
    <t>McElroy et al., 2010</t>
    <phoneticPr fontId="1" type="noConversion"/>
  </si>
  <si>
    <t>McIntyre et al., 2002</t>
    <phoneticPr fontId="1" type="noConversion"/>
  </si>
  <si>
    <t>McIntyre et al., 2019</t>
    <phoneticPr fontId="1" type="noConversion"/>
  </si>
  <si>
    <t>Murphy et al., 2014a</t>
    <phoneticPr fontId="1" type="noConversion"/>
  </si>
  <si>
    <t>Murphy et al., 2014b</t>
    <phoneticPr fontId="1" type="noConversion"/>
  </si>
  <si>
    <t>Muzina et al., 2011</t>
    <phoneticPr fontId="1" type="noConversion"/>
  </si>
  <si>
    <t>NCT01467700</t>
    <phoneticPr fontId="1" type="noConversion"/>
  </si>
  <si>
    <t>NCT01677182</t>
    <phoneticPr fontId="1" type="noConversion"/>
  </si>
  <si>
    <t>NCT02600494</t>
    <phoneticPr fontId="1" type="noConversion"/>
  </si>
  <si>
    <t>Payne NCT003762</t>
    <phoneticPr fontId="1" type="noConversion"/>
  </si>
  <si>
    <t>Quante et al., 2010</t>
    <phoneticPr fontId="1" type="noConversion"/>
  </si>
  <si>
    <t>Sachs et al.,1994</t>
    <phoneticPr fontId="1" type="noConversion"/>
  </si>
  <si>
    <t>Sachs et al., 2001</t>
    <phoneticPr fontId="1" type="noConversion"/>
  </si>
  <si>
    <t>Saricicek et al., 2011</t>
    <phoneticPr fontId="1" type="noConversion"/>
  </si>
  <si>
    <t>Schaffer et al., 2006</t>
    <phoneticPr fontId="1" type="noConversion"/>
  </si>
  <si>
    <t>Silverstone et al., 2001</t>
    <phoneticPr fontId="1" type="noConversion"/>
  </si>
  <si>
    <t>Suppes et al., 2008</t>
    <phoneticPr fontId="1" type="noConversion"/>
  </si>
  <si>
    <t>Suppes et al., 2010</t>
    <phoneticPr fontId="1" type="noConversion"/>
  </si>
  <si>
    <t>Suppes et al., 2023</t>
    <phoneticPr fontId="1" type="noConversion"/>
  </si>
  <si>
    <t>Thase et al.,2008 SI</t>
    <phoneticPr fontId="1" type="noConversion"/>
  </si>
  <si>
    <t>Thase et al.,2008 SII</t>
    <phoneticPr fontId="1" type="noConversion"/>
  </si>
  <si>
    <t>Creatine</t>
  </si>
  <si>
    <t>Agomelatine</t>
  </si>
  <si>
    <t>Yatham et al., 2020 NCT008522</t>
  </si>
  <si>
    <t>Zhang et al., 2007</t>
  </si>
  <si>
    <t>Toniolo et al., 2018</t>
    <phoneticPr fontId="1" type="noConversion"/>
  </si>
  <si>
    <t>van der Loos et al.,2009</t>
    <phoneticPr fontId="1" type="noConversion"/>
  </si>
  <si>
    <t>Vieta et al.,2002</t>
    <phoneticPr fontId="1" type="noConversion"/>
  </si>
  <si>
    <t>Wang et al.,2014</t>
    <phoneticPr fontId="1" type="noConversion"/>
  </si>
  <si>
    <t>Esketamine</t>
  </si>
  <si>
    <t>Wieczorek et al., 2021</t>
    <phoneticPr fontId="1" type="noConversion"/>
  </si>
  <si>
    <t>Yatham et al., 2016</t>
    <phoneticPr fontId="1" type="noConversion"/>
  </si>
  <si>
    <t>Cariprazine</t>
  </si>
  <si>
    <t>Young et al., 2010</t>
    <phoneticPr fontId="1" type="noConversion"/>
  </si>
  <si>
    <t>Zarate et al.,2004</t>
    <phoneticPr fontId="1" type="noConversion"/>
  </si>
  <si>
    <t>Zeinoddini et al., 2015</t>
    <phoneticPr fontId="1" type="noConversion"/>
  </si>
  <si>
    <t>CarbamazepineFEWP</t>
    <phoneticPr fontId="1" type="noConversion"/>
  </si>
  <si>
    <t>Aripiprazole + Citalop</t>
  </si>
  <si>
    <t>Levatiracetam</t>
  </si>
  <si>
    <t>Lumateperone</t>
  </si>
  <si>
    <t>Minocycline + Aspirin</t>
  </si>
  <si>
    <t>Minocycline+Celecoxib</t>
  </si>
  <si>
    <t>Moclobemide</t>
  </si>
  <si>
    <t>Nutrientscoctail</t>
  </si>
  <si>
    <t>Pregnenolone</t>
  </si>
  <si>
    <t>Ramelteon</t>
  </si>
  <si>
    <t>Risperidone + Paroxetine</t>
  </si>
  <si>
    <t>N-acetylcysteine</t>
    <phoneticPr fontId="1" type="noConversion"/>
  </si>
  <si>
    <t>Carbamazepine+FEWP</t>
    <phoneticPr fontId="1" type="noConversion"/>
  </si>
  <si>
    <t>Nutrients coctail</t>
    <phoneticPr fontId="1" type="noConversion"/>
  </si>
  <si>
    <t xml:space="preserve">Carbamazep </t>
    <phoneticPr fontId="1" type="noConversion"/>
  </si>
  <si>
    <t>Aripiprazole + Citalopram</t>
  </si>
  <si>
    <t>Carnitine+Lipoic-acid</t>
    <phoneticPr fontId="1" type="noConversion"/>
  </si>
  <si>
    <t>Pioglitazone</t>
    <phoneticPr fontId="1" type="noConversion"/>
  </si>
  <si>
    <t>Vitamin D</t>
    <phoneticPr fontId="1" type="noConversion"/>
  </si>
  <si>
    <t>n</t>
    <phoneticPr fontId="1" type="noConversion"/>
  </si>
  <si>
    <t>t</t>
    <phoneticPr fontId="1" type="noConversion"/>
  </si>
  <si>
    <t>Creatine</t>
    <phoneticPr fontId="1" type="noConversion"/>
  </si>
  <si>
    <t>StudyID</t>
    <phoneticPr fontId="1" type="noConversion"/>
  </si>
  <si>
    <t>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</si>
</sst>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E405-625C-504E-905A-B0A548B71D4B}">
  <dimension ref="A1:J197"/>
  <sheetViews>
    <sheetView tabSelected="1" zoomScale="104" workbookViewId="0">
      <selection activeCell="B173" sqref="B1:B1048576"/>
    </sheetView>
  </sheetViews>
  <sheetFormatPr baseColWidth="10" defaultRowHeight="16"/>
  <cols>
    <col min="1" max="1" width="14.33203125" style="2" customWidth="1"/>
    <col min="2" max="2" width="17.83203125" bestFit="1" customWidth="1"/>
    <col min="3" max="3" width="10.83203125" customWidth="1"/>
    <col min="4" max="4" width="4.6640625" customWidth="1"/>
    <col min="5" max="5" width="6.6640625" customWidth="1"/>
    <col min="6" max="6" width="4" bestFit="1" customWidth="1"/>
    <col min="7" max="7" width="8.1640625" bestFit="1" customWidth="1"/>
  </cols>
  <sheetData>
    <row r="1" spans="1:10">
      <c r="A1" s="2" t="s">
        <v>32</v>
      </c>
      <c r="B1" t="s">
        <v>33</v>
      </c>
      <c r="C1" t="s">
        <v>156</v>
      </c>
      <c r="D1" t="s">
        <v>154</v>
      </c>
      <c r="E1" t="s">
        <v>153</v>
      </c>
    </row>
    <row r="2" spans="1:10">
      <c r="A2" s="2">
        <v>2019</v>
      </c>
      <c r="B2" t="s">
        <v>34</v>
      </c>
      <c r="C2">
        <f>IF(B2&lt;&gt;"", 1, "")</f>
        <v>1</v>
      </c>
      <c r="D2">
        <v>38</v>
      </c>
      <c r="E2">
        <v>18</v>
      </c>
    </row>
    <row r="3" spans="1:10">
      <c r="A3" s="2">
        <v>2019</v>
      </c>
      <c r="C3">
        <f>IF(B3&lt;&gt;"", C2+1, C2)</f>
        <v>1</v>
      </c>
      <c r="D3">
        <v>39</v>
      </c>
      <c r="E3">
        <v>20</v>
      </c>
    </row>
    <row r="4" spans="1:10">
      <c r="A4" s="2">
        <v>2017</v>
      </c>
      <c r="B4" t="s">
        <v>36</v>
      </c>
      <c r="C4">
        <f t="shared" ref="C4:C67" si="0">IF(B4&lt;&gt;"", C3+1, C3)</f>
        <v>2</v>
      </c>
      <c r="D4">
        <v>24</v>
      </c>
      <c r="E4">
        <v>49</v>
      </c>
    </row>
    <row r="5" spans="1:10">
      <c r="A5" s="2">
        <v>2017</v>
      </c>
      <c r="C5">
        <f t="shared" si="0"/>
        <v>2</v>
      </c>
      <c r="D5">
        <v>49</v>
      </c>
      <c r="E5">
        <v>93</v>
      </c>
    </row>
    <row r="6" spans="1:10">
      <c r="A6" s="2">
        <v>2005</v>
      </c>
      <c r="B6" t="s">
        <v>35</v>
      </c>
      <c r="C6">
        <f t="shared" si="0"/>
        <v>3</v>
      </c>
      <c r="D6">
        <v>36</v>
      </c>
      <c r="E6">
        <v>9</v>
      </c>
    </row>
    <row r="7" spans="1:10">
      <c r="A7" s="2">
        <v>2005</v>
      </c>
      <c r="C7">
        <f t="shared" si="0"/>
        <v>3</v>
      </c>
      <c r="D7">
        <v>39</v>
      </c>
      <c r="E7">
        <v>9</v>
      </c>
    </row>
    <row r="8" spans="1:10">
      <c r="A8" s="2">
        <v>2005</v>
      </c>
      <c r="C8">
        <f t="shared" si="0"/>
        <v>3</v>
      </c>
      <c r="D8">
        <v>17</v>
      </c>
      <c r="E8">
        <v>8</v>
      </c>
      <c r="H8">
        <v>1</v>
      </c>
      <c r="I8" t="s">
        <v>120</v>
      </c>
    </row>
    <row r="9" spans="1:10">
      <c r="A9" s="2">
        <v>2016</v>
      </c>
      <c r="B9" t="s">
        <v>38</v>
      </c>
      <c r="C9">
        <f t="shared" si="0"/>
        <v>4</v>
      </c>
      <c r="D9">
        <v>52</v>
      </c>
      <c r="E9">
        <v>65</v>
      </c>
      <c r="H9">
        <v>2</v>
      </c>
      <c r="I9" t="s">
        <v>79</v>
      </c>
    </row>
    <row r="10" spans="1:10">
      <c r="A10" s="2">
        <v>2016</v>
      </c>
      <c r="C10">
        <f t="shared" si="0"/>
        <v>4</v>
      </c>
      <c r="D10">
        <v>24</v>
      </c>
      <c r="E10">
        <v>64</v>
      </c>
      <c r="H10">
        <v>3</v>
      </c>
      <c r="I10" t="s">
        <v>149</v>
      </c>
    </row>
    <row r="11" spans="1:10">
      <c r="A11" s="2">
        <v>2012</v>
      </c>
      <c r="B11" t="s">
        <v>37</v>
      </c>
      <c r="C11">
        <f t="shared" si="0"/>
        <v>5</v>
      </c>
      <c r="D11">
        <v>27</v>
      </c>
      <c r="E11">
        <v>14</v>
      </c>
      <c r="H11">
        <v>4</v>
      </c>
      <c r="I11" t="s">
        <v>14</v>
      </c>
    </row>
    <row r="12" spans="1:10">
      <c r="A12" s="2">
        <v>2012</v>
      </c>
      <c r="C12">
        <f t="shared" si="0"/>
        <v>5</v>
      </c>
      <c r="D12">
        <v>39</v>
      </c>
      <c r="E12">
        <v>15</v>
      </c>
      <c r="H12">
        <v>5</v>
      </c>
      <c r="I12" t="s">
        <v>83</v>
      </c>
    </row>
    <row r="13" spans="1:10">
      <c r="A13" s="2">
        <v>2013</v>
      </c>
      <c r="B13" t="s">
        <v>8</v>
      </c>
      <c r="C13">
        <f t="shared" si="0"/>
        <v>6</v>
      </c>
      <c r="D13">
        <v>54</v>
      </c>
      <c r="E13">
        <v>8</v>
      </c>
      <c r="H13">
        <v>6</v>
      </c>
      <c r="I13" t="s">
        <v>29</v>
      </c>
    </row>
    <row r="14" spans="1:10">
      <c r="A14" s="2">
        <v>2013</v>
      </c>
      <c r="C14">
        <f t="shared" si="0"/>
        <v>6</v>
      </c>
      <c r="D14">
        <v>39</v>
      </c>
      <c r="E14">
        <v>6</v>
      </c>
      <c r="H14">
        <v>7</v>
      </c>
      <c r="I14" t="s">
        <v>148</v>
      </c>
      <c r="J14" t="s">
        <v>157</v>
      </c>
    </row>
    <row r="15" spans="1:10">
      <c r="A15" s="2">
        <v>2019</v>
      </c>
      <c r="B15" t="s">
        <v>10</v>
      </c>
      <c r="C15">
        <f t="shared" si="0"/>
        <v>7</v>
      </c>
      <c r="D15">
        <v>33</v>
      </c>
      <c r="E15">
        <v>59</v>
      </c>
      <c r="H15">
        <v>8</v>
      </c>
      <c r="I15" t="s">
        <v>146</v>
      </c>
    </row>
    <row r="16" spans="1:10">
      <c r="A16" s="2">
        <v>2019</v>
      </c>
      <c r="C16">
        <f t="shared" si="0"/>
        <v>7</v>
      </c>
      <c r="D16">
        <v>39</v>
      </c>
      <c r="E16">
        <v>61</v>
      </c>
      <c r="H16">
        <v>9</v>
      </c>
      <c r="I16" t="s">
        <v>51</v>
      </c>
    </row>
    <row r="17" spans="1:9">
      <c r="A17" s="2">
        <v>2019</v>
      </c>
      <c r="C17">
        <f t="shared" si="0"/>
        <v>7</v>
      </c>
      <c r="D17">
        <v>35</v>
      </c>
      <c r="E17">
        <v>61</v>
      </c>
      <c r="H17">
        <v>10</v>
      </c>
      <c r="I17" t="s">
        <v>150</v>
      </c>
    </row>
    <row r="18" spans="1:9">
      <c r="A18" s="2">
        <v>2013</v>
      </c>
      <c r="B18" t="s">
        <v>41</v>
      </c>
      <c r="C18">
        <f t="shared" si="0"/>
        <v>8</v>
      </c>
      <c r="D18">
        <v>10</v>
      </c>
      <c r="E18">
        <v>20</v>
      </c>
      <c r="H18">
        <v>11</v>
      </c>
      <c r="I18" t="s">
        <v>31</v>
      </c>
    </row>
    <row r="19" spans="1:9">
      <c r="A19" s="2">
        <v>2013</v>
      </c>
      <c r="C19">
        <f t="shared" si="0"/>
        <v>8</v>
      </c>
      <c r="D19">
        <v>39</v>
      </c>
      <c r="E19">
        <v>20</v>
      </c>
      <c r="H19">
        <v>12</v>
      </c>
      <c r="I19" t="s">
        <v>25</v>
      </c>
    </row>
    <row r="20" spans="1:9">
      <c r="A20" s="2">
        <v>2014</v>
      </c>
      <c r="B20" t="s">
        <v>12</v>
      </c>
      <c r="C20">
        <f t="shared" si="0"/>
        <v>9</v>
      </c>
      <c r="D20">
        <v>41</v>
      </c>
      <c r="E20">
        <v>38</v>
      </c>
      <c r="H20">
        <v>13</v>
      </c>
      <c r="I20" t="s">
        <v>155</v>
      </c>
    </row>
    <row r="21" spans="1:9">
      <c r="A21" s="2">
        <v>2014</v>
      </c>
      <c r="C21">
        <f t="shared" si="0"/>
        <v>9</v>
      </c>
      <c r="D21">
        <v>39</v>
      </c>
      <c r="E21">
        <v>35</v>
      </c>
      <c r="H21">
        <v>14</v>
      </c>
      <c r="I21" t="s">
        <v>80</v>
      </c>
    </row>
    <row r="22" spans="1:9">
      <c r="A22" s="2">
        <v>2021</v>
      </c>
      <c r="B22" t="s">
        <v>42</v>
      </c>
      <c r="C22">
        <f t="shared" si="0"/>
        <v>10</v>
      </c>
      <c r="D22">
        <v>25</v>
      </c>
      <c r="E22">
        <v>188</v>
      </c>
      <c r="H22">
        <v>15</v>
      </c>
      <c r="I22" t="s">
        <v>64</v>
      </c>
    </row>
    <row r="23" spans="1:9">
      <c r="A23" s="2">
        <v>2021</v>
      </c>
      <c r="C23">
        <f t="shared" si="0"/>
        <v>10</v>
      </c>
      <c r="D23">
        <v>39</v>
      </c>
      <c r="E23">
        <v>189</v>
      </c>
      <c r="H23">
        <v>16</v>
      </c>
      <c r="I23" t="s">
        <v>127</v>
      </c>
    </row>
    <row r="24" spans="1:9">
      <c r="A24" s="2">
        <v>1999</v>
      </c>
      <c r="B24" t="s">
        <v>43</v>
      </c>
      <c r="C24">
        <f t="shared" si="0"/>
        <v>11</v>
      </c>
      <c r="D24">
        <v>22</v>
      </c>
      <c r="E24">
        <v>63</v>
      </c>
      <c r="H24">
        <v>17</v>
      </c>
      <c r="I24" t="s">
        <v>5</v>
      </c>
    </row>
    <row r="25" spans="1:9">
      <c r="A25" s="2">
        <v>1999</v>
      </c>
      <c r="C25">
        <f t="shared" si="0"/>
        <v>11</v>
      </c>
      <c r="D25">
        <v>39</v>
      </c>
      <c r="E25">
        <v>66</v>
      </c>
      <c r="H25">
        <v>18</v>
      </c>
      <c r="I25" t="s">
        <v>28</v>
      </c>
    </row>
    <row r="26" spans="1:9">
      <c r="A26" s="2">
        <v>1999</v>
      </c>
      <c r="C26">
        <f t="shared" si="0"/>
        <v>11</v>
      </c>
      <c r="D26">
        <v>22</v>
      </c>
      <c r="E26">
        <v>66</v>
      </c>
      <c r="H26">
        <v>19</v>
      </c>
      <c r="I26" t="s">
        <v>18</v>
      </c>
    </row>
    <row r="27" spans="1:9">
      <c r="A27" s="2">
        <v>2005</v>
      </c>
      <c r="B27" t="s">
        <v>13</v>
      </c>
      <c r="C27">
        <f t="shared" si="0"/>
        <v>12</v>
      </c>
      <c r="D27">
        <v>42</v>
      </c>
      <c r="E27">
        <v>361</v>
      </c>
      <c r="H27">
        <v>20</v>
      </c>
      <c r="I27" t="s">
        <v>71</v>
      </c>
    </row>
    <row r="28" spans="1:9">
      <c r="A28" s="2">
        <v>2005</v>
      </c>
      <c r="C28">
        <f t="shared" si="0"/>
        <v>12</v>
      </c>
      <c r="D28">
        <v>39</v>
      </c>
      <c r="E28">
        <v>181</v>
      </c>
      <c r="H28">
        <v>21</v>
      </c>
      <c r="I28" t="s">
        <v>16</v>
      </c>
    </row>
    <row r="29" spans="1:9">
      <c r="A29" s="2">
        <v>2008</v>
      </c>
      <c r="B29" t="s">
        <v>44</v>
      </c>
      <c r="C29">
        <f t="shared" si="0"/>
        <v>13</v>
      </c>
      <c r="D29">
        <v>22</v>
      </c>
      <c r="E29">
        <v>103</v>
      </c>
      <c r="H29">
        <v>22</v>
      </c>
      <c r="I29" t="s">
        <v>11</v>
      </c>
    </row>
    <row r="30" spans="1:9">
      <c r="A30" s="2">
        <v>2008</v>
      </c>
      <c r="C30">
        <f t="shared" si="0"/>
        <v>13</v>
      </c>
      <c r="D30">
        <v>39</v>
      </c>
      <c r="E30">
        <v>103</v>
      </c>
      <c r="H30">
        <v>23</v>
      </c>
      <c r="I30" t="s">
        <v>136</v>
      </c>
    </row>
    <row r="31" spans="1:9">
      <c r="A31" s="2">
        <v>2008</v>
      </c>
      <c r="B31" t="s">
        <v>45</v>
      </c>
      <c r="C31">
        <f t="shared" si="0"/>
        <v>14</v>
      </c>
      <c r="D31">
        <v>22</v>
      </c>
      <c r="E31">
        <v>133</v>
      </c>
      <c r="H31">
        <v>24</v>
      </c>
      <c r="I31" t="s">
        <v>2</v>
      </c>
    </row>
    <row r="32" spans="1:9">
      <c r="A32" s="2">
        <v>2008</v>
      </c>
      <c r="C32">
        <f t="shared" si="0"/>
        <v>14</v>
      </c>
      <c r="D32">
        <v>39</v>
      </c>
      <c r="E32">
        <v>124</v>
      </c>
      <c r="H32">
        <v>25</v>
      </c>
      <c r="I32" t="s">
        <v>137</v>
      </c>
    </row>
    <row r="33" spans="1:9">
      <c r="A33" s="2">
        <v>2008</v>
      </c>
      <c r="B33" t="s">
        <v>46</v>
      </c>
      <c r="C33">
        <f t="shared" si="0"/>
        <v>15</v>
      </c>
      <c r="D33">
        <v>22</v>
      </c>
      <c r="E33">
        <v>111</v>
      </c>
      <c r="H33">
        <v>26</v>
      </c>
      <c r="I33" t="s">
        <v>63</v>
      </c>
    </row>
    <row r="34" spans="1:9">
      <c r="A34" s="2">
        <v>2008</v>
      </c>
      <c r="C34">
        <f t="shared" si="0"/>
        <v>15</v>
      </c>
      <c r="D34">
        <v>39</v>
      </c>
      <c r="E34">
        <v>110</v>
      </c>
      <c r="H34">
        <v>27</v>
      </c>
      <c r="I34" t="s">
        <v>7</v>
      </c>
    </row>
    <row r="35" spans="1:9">
      <c r="A35" s="2">
        <v>2008</v>
      </c>
      <c r="B35" t="s">
        <v>47</v>
      </c>
      <c r="C35">
        <f t="shared" si="0"/>
        <v>16</v>
      </c>
      <c r="D35">
        <v>22</v>
      </c>
      <c r="E35">
        <v>131</v>
      </c>
      <c r="H35">
        <v>28</v>
      </c>
      <c r="I35" t="s">
        <v>30</v>
      </c>
    </row>
    <row r="36" spans="1:9">
      <c r="A36" s="2">
        <v>2008</v>
      </c>
      <c r="C36">
        <f t="shared" si="0"/>
        <v>16</v>
      </c>
      <c r="D36">
        <v>39</v>
      </c>
      <c r="E36">
        <v>128</v>
      </c>
      <c r="H36">
        <v>29</v>
      </c>
      <c r="I36" t="s">
        <v>138</v>
      </c>
    </row>
    <row r="37" spans="1:9">
      <c r="A37" s="2">
        <v>2010</v>
      </c>
      <c r="B37" t="s">
        <v>43</v>
      </c>
      <c r="C37">
        <f t="shared" si="0"/>
        <v>17</v>
      </c>
      <c r="D37">
        <v>4</v>
      </c>
      <c r="E37">
        <v>128</v>
      </c>
      <c r="H37">
        <v>30</v>
      </c>
      <c r="I37" t="s">
        <v>139</v>
      </c>
    </row>
    <row r="38" spans="1:9">
      <c r="A38" s="2">
        <v>2010</v>
      </c>
      <c r="C38">
        <f t="shared" si="0"/>
        <v>17</v>
      </c>
      <c r="D38">
        <v>39</v>
      </c>
      <c r="E38">
        <v>129</v>
      </c>
      <c r="H38">
        <v>31</v>
      </c>
      <c r="I38" t="s">
        <v>140</v>
      </c>
    </row>
    <row r="39" spans="1:9">
      <c r="A39" s="2">
        <v>2014</v>
      </c>
      <c r="B39" t="s">
        <v>43</v>
      </c>
      <c r="C39">
        <f t="shared" si="0"/>
        <v>18</v>
      </c>
      <c r="D39">
        <v>4</v>
      </c>
      <c r="E39">
        <v>234</v>
      </c>
      <c r="H39">
        <v>32</v>
      </c>
      <c r="I39" t="s">
        <v>22</v>
      </c>
    </row>
    <row r="40" spans="1:9">
      <c r="A40" s="2">
        <v>2014</v>
      </c>
      <c r="C40">
        <f t="shared" si="0"/>
        <v>18</v>
      </c>
      <c r="D40">
        <v>39</v>
      </c>
      <c r="E40">
        <v>199</v>
      </c>
      <c r="H40">
        <v>33</v>
      </c>
      <c r="I40" t="s">
        <v>145</v>
      </c>
    </row>
    <row r="41" spans="1:9">
      <c r="A41" s="2">
        <v>2000</v>
      </c>
      <c r="B41" t="s">
        <v>15</v>
      </c>
      <c r="C41">
        <f t="shared" si="0"/>
        <v>19</v>
      </c>
      <c r="D41">
        <v>21</v>
      </c>
      <c r="E41">
        <v>12</v>
      </c>
      <c r="H41">
        <v>34</v>
      </c>
      <c r="I41" t="s">
        <v>74</v>
      </c>
    </row>
    <row r="42" spans="1:9">
      <c r="A42" s="2">
        <v>2000</v>
      </c>
      <c r="C42">
        <f t="shared" si="0"/>
        <v>19</v>
      </c>
      <c r="D42">
        <v>39</v>
      </c>
      <c r="E42">
        <v>12</v>
      </c>
      <c r="H42">
        <v>35</v>
      </c>
      <c r="I42" t="s">
        <v>147</v>
      </c>
    </row>
    <row r="43" spans="1:9">
      <c r="A43" s="2">
        <v>1989</v>
      </c>
      <c r="B43" t="s">
        <v>17</v>
      </c>
      <c r="C43">
        <f t="shared" si="0"/>
        <v>20</v>
      </c>
      <c r="D43">
        <v>17</v>
      </c>
      <c r="E43">
        <v>30</v>
      </c>
      <c r="H43">
        <v>36</v>
      </c>
      <c r="I43" t="s">
        <v>4</v>
      </c>
    </row>
    <row r="44" spans="1:9">
      <c r="A44" s="2">
        <v>1989</v>
      </c>
      <c r="C44">
        <f t="shared" si="0"/>
        <v>20</v>
      </c>
      <c r="D44">
        <v>39</v>
      </c>
      <c r="E44">
        <v>29</v>
      </c>
      <c r="H44">
        <v>37</v>
      </c>
      <c r="I44" t="s">
        <v>69</v>
      </c>
    </row>
    <row r="45" spans="1:9">
      <c r="A45" s="2">
        <v>1989</v>
      </c>
      <c r="C45">
        <f t="shared" si="0"/>
        <v>20</v>
      </c>
      <c r="D45">
        <v>19</v>
      </c>
      <c r="E45">
        <v>30</v>
      </c>
      <c r="H45">
        <v>38</v>
      </c>
      <c r="I45" t="s">
        <v>0</v>
      </c>
    </row>
    <row r="46" spans="1:9">
      <c r="A46" s="2">
        <v>2011</v>
      </c>
      <c r="B46" t="s">
        <v>48</v>
      </c>
      <c r="C46">
        <f t="shared" si="0"/>
        <v>21</v>
      </c>
      <c r="D46">
        <v>55</v>
      </c>
      <c r="E46">
        <v>52</v>
      </c>
      <c r="H46">
        <v>39</v>
      </c>
      <c r="I46" t="s">
        <v>1</v>
      </c>
    </row>
    <row r="47" spans="1:9">
      <c r="A47" s="2">
        <v>2011</v>
      </c>
      <c r="C47">
        <f t="shared" si="0"/>
        <v>21</v>
      </c>
      <c r="D47">
        <v>39</v>
      </c>
      <c r="E47">
        <v>50</v>
      </c>
      <c r="H47">
        <v>40</v>
      </c>
      <c r="I47" t="s">
        <v>26</v>
      </c>
    </row>
    <row r="48" spans="1:9">
      <c r="A48" s="2">
        <v>2005</v>
      </c>
      <c r="B48" t="s">
        <v>21</v>
      </c>
      <c r="C48">
        <f t="shared" si="0"/>
        <v>22</v>
      </c>
      <c r="D48">
        <v>51</v>
      </c>
      <c r="E48">
        <v>13</v>
      </c>
      <c r="H48">
        <v>41</v>
      </c>
      <c r="I48" t="s">
        <v>142</v>
      </c>
    </row>
    <row r="49" spans="1:9">
      <c r="A49" s="2">
        <v>2005</v>
      </c>
      <c r="C49">
        <f t="shared" si="0"/>
        <v>22</v>
      </c>
      <c r="D49">
        <v>39</v>
      </c>
      <c r="E49">
        <v>12</v>
      </c>
      <c r="H49">
        <v>42</v>
      </c>
      <c r="I49" t="s">
        <v>86</v>
      </c>
    </row>
    <row r="50" spans="1:9">
      <c r="A50" s="2">
        <v>2016</v>
      </c>
      <c r="B50" t="s">
        <v>49</v>
      </c>
      <c r="C50">
        <f t="shared" si="0"/>
        <v>23</v>
      </c>
      <c r="D50">
        <v>9</v>
      </c>
      <c r="E50">
        <v>436</v>
      </c>
      <c r="H50">
        <v>43</v>
      </c>
      <c r="I50" t="s">
        <v>143</v>
      </c>
    </row>
    <row r="51" spans="1:9">
      <c r="A51" s="2">
        <v>2016</v>
      </c>
      <c r="C51">
        <f t="shared" si="0"/>
        <v>23</v>
      </c>
      <c r="D51">
        <v>39</v>
      </c>
      <c r="E51">
        <v>148</v>
      </c>
      <c r="H51">
        <v>44</v>
      </c>
      <c r="I51" t="s">
        <v>77</v>
      </c>
    </row>
    <row r="52" spans="1:9">
      <c r="A52" s="2">
        <v>2019</v>
      </c>
      <c r="B52" t="s">
        <v>50</v>
      </c>
      <c r="C52">
        <f t="shared" si="0"/>
        <v>24</v>
      </c>
      <c r="D52">
        <v>9</v>
      </c>
      <c r="E52">
        <v>325</v>
      </c>
      <c r="H52">
        <v>45</v>
      </c>
      <c r="I52" t="s">
        <v>85</v>
      </c>
    </row>
    <row r="53" spans="1:9">
      <c r="A53" s="2">
        <v>2019</v>
      </c>
      <c r="C53">
        <f t="shared" si="0"/>
        <v>24</v>
      </c>
      <c r="D53">
        <v>39</v>
      </c>
      <c r="E53">
        <v>163</v>
      </c>
      <c r="H53">
        <v>46</v>
      </c>
      <c r="I53" t="s">
        <v>144</v>
      </c>
    </row>
    <row r="54" spans="1:9">
      <c r="A54" s="2">
        <v>2019</v>
      </c>
      <c r="B54" t="s">
        <v>52</v>
      </c>
      <c r="C54">
        <f t="shared" si="0"/>
        <v>25</v>
      </c>
      <c r="D54">
        <v>9</v>
      </c>
      <c r="E54">
        <v>326</v>
      </c>
      <c r="H54">
        <v>47</v>
      </c>
      <c r="I54" t="s">
        <v>73</v>
      </c>
    </row>
    <row r="55" spans="1:9">
      <c r="A55" s="2">
        <v>2019</v>
      </c>
      <c r="C55">
        <f t="shared" si="0"/>
        <v>25</v>
      </c>
      <c r="D55">
        <v>39</v>
      </c>
      <c r="E55">
        <v>167</v>
      </c>
      <c r="H55">
        <v>48</v>
      </c>
      <c r="I55" t="s">
        <v>66</v>
      </c>
    </row>
    <row r="56" spans="1:9">
      <c r="A56" s="2">
        <v>2019</v>
      </c>
      <c r="B56" t="s">
        <v>53</v>
      </c>
      <c r="C56">
        <f t="shared" si="0"/>
        <v>26</v>
      </c>
      <c r="D56">
        <v>33</v>
      </c>
      <c r="E56">
        <v>40</v>
      </c>
      <c r="H56">
        <v>49</v>
      </c>
      <c r="I56" t="s">
        <v>3</v>
      </c>
    </row>
    <row r="57" spans="1:9">
      <c r="A57" s="2">
        <v>2019</v>
      </c>
      <c r="C57">
        <f t="shared" si="0"/>
        <v>26</v>
      </c>
      <c r="D57">
        <v>39</v>
      </c>
      <c r="E57">
        <v>40</v>
      </c>
      <c r="H57">
        <v>50</v>
      </c>
      <c r="I57" t="s">
        <v>70</v>
      </c>
    </row>
    <row r="58" spans="1:9">
      <c r="A58" s="2">
        <v>2006</v>
      </c>
      <c r="B58" t="s">
        <v>54</v>
      </c>
      <c r="C58">
        <f t="shared" si="0"/>
        <v>27</v>
      </c>
      <c r="D58">
        <v>21</v>
      </c>
      <c r="E58">
        <v>9</v>
      </c>
      <c r="H58">
        <v>51</v>
      </c>
      <c r="I58" t="s">
        <v>20</v>
      </c>
    </row>
    <row r="59" spans="1:9">
      <c r="A59" s="2">
        <v>2006</v>
      </c>
      <c r="C59">
        <f t="shared" si="0"/>
        <v>27</v>
      </c>
      <c r="D59">
        <v>39</v>
      </c>
      <c r="E59">
        <v>9</v>
      </c>
      <c r="H59">
        <v>52</v>
      </c>
      <c r="I59" t="s">
        <v>6</v>
      </c>
    </row>
    <row r="60" spans="1:9">
      <c r="A60" s="2">
        <v>2007</v>
      </c>
      <c r="B60" t="s">
        <v>55</v>
      </c>
      <c r="C60">
        <f t="shared" si="0"/>
        <v>28</v>
      </c>
      <c r="D60">
        <v>32</v>
      </c>
      <c r="E60">
        <v>41</v>
      </c>
      <c r="H60">
        <v>53</v>
      </c>
      <c r="I60" t="s">
        <v>152</v>
      </c>
    </row>
    <row r="61" spans="1:9">
      <c r="A61" s="2">
        <v>2007</v>
      </c>
      <c r="C61">
        <f t="shared" si="0"/>
        <v>28</v>
      </c>
      <c r="D61">
        <v>39</v>
      </c>
      <c r="E61">
        <v>44</v>
      </c>
      <c r="H61">
        <v>54</v>
      </c>
      <c r="I61" t="s">
        <v>9</v>
      </c>
    </row>
    <row r="62" spans="1:9">
      <c r="A62" s="2">
        <v>2015</v>
      </c>
      <c r="B62" t="s">
        <v>56</v>
      </c>
      <c r="C62">
        <f t="shared" si="0"/>
        <v>29</v>
      </c>
      <c r="D62">
        <v>4</v>
      </c>
      <c r="E62">
        <v>200</v>
      </c>
      <c r="H62">
        <v>55</v>
      </c>
      <c r="I62" t="s">
        <v>19</v>
      </c>
    </row>
    <row r="63" spans="1:9">
      <c r="A63" s="2">
        <v>2015</v>
      </c>
      <c r="C63">
        <f t="shared" si="0"/>
        <v>29</v>
      </c>
      <c r="D63">
        <v>39</v>
      </c>
      <c r="E63">
        <v>199</v>
      </c>
    </row>
    <row r="64" spans="1:9">
      <c r="A64" s="2">
        <v>2016</v>
      </c>
      <c r="B64" t="s">
        <v>57</v>
      </c>
      <c r="C64">
        <f t="shared" si="0"/>
        <v>30</v>
      </c>
      <c r="D64">
        <v>22</v>
      </c>
      <c r="E64">
        <v>101</v>
      </c>
    </row>
    <row r="65" spans="1:5">
      <c r="A65" s="2">
        <v>2016</v>
      </c>
      <c r="C65">
        <f t="shared" si="0"/>
        <v>30</v>
      </c>
      <c r="D65">
        <v>39</v>
      </c>
      <c r="E65">
        <v>101</v>
      </c>
    </row>
    <row r="66" spans="1:5">
      <c r="A66" s="2">
        <v>2007</v>
      </c>
      <c r="B66" t="s">
        <v>23</v>
      </c>
      <c r="C66">
        <f t="shared" si="0"/>
        <v>31</v>
      </c>
      <c r="D66">
        <v>51</v>
      </c>
      <c r="E66">
        <v>10</v>
      </c>
    </row>
    <row r="67" spans="1:5">
      <c r="A67" s="2">
        <v>2007</v>
      </c>
      <c r="C67">
        <f t="shared" si="0"/>
        <v>31</v>
      </c>
      <c r="D67">
        <v>39</v>
      </c>
      <c r="E67">
        <v>9</v>
      </c>
    </row>
    <row r="68" spans="1:5">
      <c r="A68" s="2">
        <v>2021</v>
      </c>
      <c r="B68" t="s">
        <v>24</v>
      </c>
      <c r="C68">
        <f t="shared" ref="C68:C131" si="1">IF(B68&lt;&gt;"", C67+1, C67)</f>
        <v>32</v>
      </c>
      <c r="D68">
        <v>12</v>
      </c>
      <c r="E68">
        <v>60</v>
      </c>
    </row>
    <row r="69" spans="1:5">
      <c r="A69" s="2">
        <v>2021</v>
      </c>
      <c r="C69">
        <f t="shared" si="1"/>
        <v>32</v>
      </c>
      <c r="D69">
        <v>39</v>
      </c>
      <c r="E69">
        <v>59</v>
      </c>
    </row>
    <row r="70" spans="1:5">
      <c r="A70" s="2">
        <v>2004</v>
      </c>
      <c r="B70" t="s">
        <v>58</v>
      </c>
      <c r="C70">
        <f t="shared" si="1"/>
        <v>33</v>
      </c>
      <c r="D70">
        <v>40</v>
      </c>
      <c r="E70">
        <v>12</v>
      </c>
    </row>
    <row r="71" spans="1:5">
      <c r="A71" s="2">
        <v>2004</v>
      </c>
      <c r="C71">
        <f t="shared" si="1"/>
        <v>33</v>
      </c>
      <c r="D71">
        <v>39</v>
      </c>
      <c r="E71">
        <v>10</v>
      </c>
    </row>
    <row r="72" spans="1:5">
      <c r="A72" s="2">
        <v>1999</v>
      </c>
      <c r="B72" t="s">
        <v>27</v>
      </c>
      <c r="C72">
        <f t="shared" si="1"/>
        <v>34</v>
      </c>
      <c r="D72">
        <v>18</v>
      </c>
      <c r="E72">
        <v>7</v>
      </c>
    </row>
    <row r="73" spans="1:5">
      <c r="A73" s="2">
        <v>1999</v>
      </c>
      <c r="C73">
        <f t="shared" si="1"/>
        <v>34</v>
      </c>
      <c r="D73">
        <v>6</v>
      </c>
      <c r="E73">
        <v>9</v>
      </c>
    </row>
    <row r="74" spans="1:5">
      <c r="A74" s="2">
        <v>2020</v>
      </c>
      <c r="B74" t="s">
        <v>59</v>
      </c>
      <c r="C74">
        <f t="shared" si="1"/>
        <v>35</v>
      </c>
      <c r="D74">
        <v>11</v>
      </c>
      <c r="E74">
        <v>35</v>
      </c>
    </row>
    <row r="75" spans="1:5">
      <c r="A75" s="2">
        <v>2020</v>
      </c>
      <c r="C75">
        <f t="shared" si="1"/>
        <v>35</v>
      </c>
      <c r="D75">
        <v>39</v>
      </c>
      <c r="E75">
        <v>30</v>
      </c>
    </row>
    <row r="76" spans="1:5">
      <c r="A76" s="2">
        <v>2020</v>
      </c>
      <c r="B76" t="s">
        <v>60</v>
      </c>
      <c r="C76">
        <f t="shared" si="1"/>
        <v>36</v>
      </c>
      <c r="D76">
        <v>28</v>
      </c>
      <c r="E76">
        <v>66</v>
      </c>
    </row>
    <row r="77" spans="1:5">
      <c r="A77" s="2">
        <v>2020</v>
      </c>
      <c r="C77">
        <f t="shared" si="1"/>
        <v>36</v>
      </c>
      <c r="D77">
        <v>11</v>
      </c>
      <c r="E77">
        <v>66</v>
      </c>
    </row>
    <row r="78" spans="1:5">
      <c r="A78" s="2">
        <v>2020</v>
      </c>
      <c r="C78">
        <f t="shared" si="1"/>
        <v>36</v>
      </c>
      <c r="D78">
        <v>30</v>
      </c>
      <c r="E78">
        <v>68</v>
      </c>
    </row>
    <row r="79" spans="1:5">
      <c r="A79" s="2">
        <v>2020</v>
      </c>
      <c r="C79">
        <f t="shared" si="1"/>
        <v>36</v>
      </c>
      <c r="D79">
        <v>39</v>
      </c>
      <c r="E79">
        <v>66</v>
      </c>
    </row>
    <row r="80" spans="1:5">
      <c r="A80" s="2">
        <v>2020</v>
      </c>
      <c r="B80" t="s">
        <v>61</v>
      </c>
      <c r="C80">
        <f t="shared" si="1"/>
        <v>37</v>
      </c>
      <c r="D80">
        <v>26</v>
      </c>
      <c r="E80">
        <v>353</v>
      </c>
    </row>
    <row r="81" spans="1:5">
      <c r="A81" s="2">
        <v>2020</v>
      </c>
      <c r="C81">
        <f t="shared" si="1"/>
        <v>37</v>
      </c>
      <c r="D81">
        <v>39</v>
      </c>
      <c r="E81">
        <v>172</v>
      </c>
    </row>
    <row r="82" spans="1:5">
      <c r="A82" s="2">
        <v>2012</v>
      </c>
      <c r="B82" t="s">
        <v>62</v>
      </c>
      <c r="C82">
        <f t="shared" si="1"/>
        <v>38</v>
      </c>
      <c r="D82">
        <v>22</v>
      </c>
      <c r="E82">
        <v>23</v>
      </c>
    </row>
    <row r="83" spans="1:5">
      <c r="A83" s="2">
        <v>2012</v>
      </c>
      <c r="C83">
        <f t="shared" si="1"/>
        <v>38</v>
      </c>
      <c r="D83">
        <v>39</v>
      </c>
      <c r="E83">
        <v>26</v>
      </c>
    </row>
    <row r="84" spans="1:5">
      <c r="A84" s="2">
        <v>2015</v>
      </c>
      <c r="B84" t="s">
        <v>91</v>
      </c>
      <c r="C84">
        <f t="shared" si="1"/>
        <v>39</v>
      </c>
      <c r="D84">
        <v>4</v>
      </c>
      <c r="E84">
        <v>262</v>
      </c>
    </row>
    <row r="85" spans="1:5">
      <c r="A85" s="2">
        <v>2015</v>
      </c>
      <c r="C85">
        <f t="shared" si="1"/>
        <v>39</v>
      </c>
      <c r="D85">
        <v>39</v>
      </c>
      <c r="E85">
        <v>230</v>
      </c>
    </row>
    <row r="86" spans="1:5">
      <c r="A86" s="2">
        <v>2014</v>
      </c>
      <c r="B86" t="s">
        <v>92</v>
      </c>
      <c r="C86">
        <f t="shared" si="1"/>
        <v>40</v>
      </c>
      <c r="D86">
        <v>27</v>
      </c>
      <c r="E86">
        <v>115</v>
      </c>
    </row>
    <row r="87" spans="1:5">
      <c r="A87" s="2">
        <v>2014</v>
      </c>
      <c r="C87">
        <f t="shared" si="1"/>
        <v>40</v>
      </c>
      <c r="D87">
        <v>39</v>
      </c>
      <c r="E87">
        <v>117</v>
      </c>
    </row>
    <row r="88" spans="1:5">
      <c r="A88" s="2">
        <v>2016</v>
      </c>
      <c r="B88" t="s">
        <v>93</v>
      </c>
      <c r="C88">
        <f t="shared" si="1"/>
        <v>41</v>
      </c>
      <c r="D88">
        <v>42</v>
      </c>
      <c r="E88">
        <v>148</v>
      </c>
    </row>
    <row r="89" spans="1:5">
      <c r="A89" s="2">
        <v>2016</v>
      </c>
      <c r="C89">
        <f t="shared" si="1"/>
        <v>41</v>
      </c>
      <c r="D89">
        <v>39</v>
      </c>
      <c r="E89">
        <v>148</v>
      </c>
    </row>
    <row r="90" spans="1:5">
      <c r="A90" s="2">
        <v>2014</v>
      </c>
      <c r="B90" t="s">
        <v>96</v>
      </c>
      <c r="C90">
        <f t="shared" si="1"/>
        <v>42</v>
      </c>
      <c r="D90">
        <v>26</v>
      </c>
      <c r="E90">
        <v>183</v>
      </c>
    </row>
    <row r="91" spans="1:5">
      <c r="A91" s="2">
        <v>2014</v>
      </c>
      <c r="C91">
        <f t="shared" si="1"/>
        <v>42</v>
      </c>
      <c r="D91">
        <v>39</v>
      </c>
      <c r="E91">
        <v>165</v>
      </c>
    </row>
    <row r="92" spans="1:5">
      <c r="A92" s="2">
        <v>2014</v>
      </c>
      <c r="B92" t="s">
        <v>96</v>
      </c>
      <c r="C92">
        <f t="shared" si="1"/>
        <v>43</v>
      </c>
      <c r="D92">
        <v>26</v>
      </c>
      <c r="E92">
        <v>335</v>
      </c>
    </row>
    <row r="93" spans="1:5">
      <c r="A93" s="2">
        <v>2014</v>
      </c>
      <c r="C93">
        <f t="shared" si="1"/>
        <v>43</v>
      </c>
      <c r="D93">
        <v>39</v>
      </c>
      <c r="E93">
        <v>170</v>
      </c>
    </row>
    <row r="94" spans="1:5">
      <c r="A94" s="2">
        <v>2022</v>
      </c>
      <c r="B94" t="s">
        <v>94</v>
      </c>
      <c r="C94">
        <f t="shared" si="1"/>
        <v>44</v>
      </c>
      <c r="D94">
        <v>15</v>
      </c>
      <c r="E94">
        <v>2277</v>
      </c>
    </row>
    <row r="95" spans="1:5">
      <c r="A95" s="2">
        <v>2022</v>
      </c>
      <c r="C95">
        <f t="shared" si="1"/>
        <v>44</v>
      </c>
      <c r="D95">
        <v>39</v>
      </c>
      <c r="E95">
        <v>114</v>
      </c>
    </row>
    <row r="96" spans="1:5">
      <c r="A96" s="2">
        <v>2012</v>
      </c>
      <c r="B96" t="s">
        <v>95</v>
      </c>
      <c r="C96">
        <f t="shared" si="1"/>
        <v>45</v>
      </c>
      <c r="D96">
        <v>54</v>
      </c>
      <c r="E96">
        <v>362</v>
      </c>
    </row>
    <row r="97" spans="1:5">
      <c r="A97" s="2">
        <v>2012</v>
      </c>
      <c r="C97">
        <f t="shared" si="1"/>
        <v>45</v>
      </c>
      <c r="D97">
        <v>39</v>
      </c>
      <c r="E97">
        <v>174</v>
      </c>
    </row>
    <row r="98" spans="1:5">
      <c r="A98" s="2">
        <v>2012</v>
      </c>
      <c r="B98" t="s">
        <v>97</v>
      </c>
      <c r="C98">
        <f t="shared" si="1"/>
        <v>46</v>
      </c>
      <c r="D98">
        <v>54</v>
      </c>
      <c r="E98">
        <v>192</v>
      </c>
    </row>
    <row r="99" spans="1:5">
      <c r="A99" s="2">
        <v>2012</v>
      </c>
      <c r="C99">
        <f t="shared" si="1"/>
        <v>46</v>
      </c>
      <c r="D99">
        <v>39</v>
      </c>
      <c r="E99">
        <v>200</v>
      </c>
    </row>
    <row r="100" spans="1:5">
      <c r="A100" s="2">
        <v>2018</v>
      </c>
      <c r="B100" t="s">
        <v>65</v>
      </c>
      <c r="C100">
        <f t="shared" si="1"/>
        <v>47</v>
      </c>
      <c r="D100">
        <v>48</v>
      </c>
      <c r="E100">
        <v>23</v>
      </c>
    </row>
    <row r="101" spans="1:5">
      <c r="A101" s="2">
        <v>2018</v>
      </c>
      <c r="C101">
        <f t="shared" si="1"/>
        <v>47</v>
      </c>
      <c r="D101">
        <v>39</v>
      </c>
      <c r="E101">
        <v>7</v>
      </c>
    </row>
    <row r="102" spans="1:5">
      <c r="A102" s="2">
        <v>2017</v>
      </c>
      <c r="B102" t="s">
        <v>67</v>
      </c>
      <c r="C102">
        <f t="shared" si="1"/>
        <v>48</v>
      </c>
      <c r="D102">
        <v>53</v>
      </c>
      <c r="E102">
        <v>16</v>
      </c>
    </row>
    <row r="103" spans="1:5">
      <c r="A103" s="2">
        <v>2017</v>
      </c>
      <c r="C103">
        <f t="shared" si="1"/>
        <v>48</v>
      </c>
      <c r="D103">
        <v>39</v>
      </c>
      <c r="E103">
        <v>17</v>
      </c>
    </row>
    <row r="104" spans="1:5">
      <c r="A104" s="2">
        <v>2010</v>
      </c>
      <c r="B104" t="s">
        <v>98</v>
      </c>
      <c r="C104">
        <f t="shared" si="1"/>
        <v>49</v>
      </c>
      <c r="D104">
        <v>42</v>
      </c>
      <c r="E104">
        <v>492</v>
      </c>
    </row>
    <row r="105" spans="1:5">
      <c r="A105" s="2">
        <v>2010</v>
      </c>
      <c r="C105">
        <f t="shared" si="1"/>
        <v>49</v>
      </c>
      <c r="D105">
        <v>39</v>
      </c>
      <c r="E105">
        <v>126</v>
      </c>
    </row>
    <row r="106" spans="1:5">
      <c r="A106" s="2">
        <v>2010</v>
      </c>
      <c r="C106">
        <f t="shared" si="1"/>
        <v>49</v>
      </c>
      <c r="D106">
        <v>37</v>
      </c>
      <c r="E106">
        <v>122</v>
      </c>
    </row>
    <row r="107" spans="1:5">
      <c r="A107" s="2">
        <v>2002</v>
      </c>
      <c r="B107" t="s">
        <v>99</v>
      </c>
      <c r="C107">
        <f t="shared" si="1"/>
        <v>50</v>
      </c>
      <c r="D107">
        <v>50</v>
      </c>
      <c r="E107">
        <v>18</v>
      </c>
    </row>
    <row r="108" spans="1:5">
      <c r="A108" s="2">
        <v>2002</v>
      </c>
      <c r="C108">
        <f t="shared" si="1"/>
        <v>50</v>
      </c>
      <c r="D108">
        <v>6</v>
      </c>
      <c r="E108">
        <v>18</v>
      </c>
    </row>
    <row r="109" spans="1:5">
      <c r="A109" s="2">
        <v>2019</v>
      </c>
      <c r="B109" t="s">
        <v>100</v>
      </c>
      <c r="C109">
        <f t="shared" si="1"/>
        <v>51</v>
      </c>
      <c r="D109">
        <v>20</v>
      </c>
      <c r="E109">
        <v>29</v>
      </c>
    </row>
    <row r="110" spans="1:5">
      <c r="A110" s="2">
        <v>2019</v>
      </c>
      <c r="C110">
        <f t="shared" si="1"/>
        <v>51</v>
      </c>
      <c r="D110">
        <v>39</v>
      </c>
      <c r="E110">
        <v>31</v>
      </c>
    </row>
    <row r="111" spans="1:5">
      <c r="A111" s="2">
        <v>2018</v>
      </c>
      <c r="B111" t="s">
        <v>72</v>
      </c>
      <c r="C111">
        <f t="shared" si="1"/>
        <v>52</v>
      </c>
      <c r="D111">
        <v>42</v>
      </c>
      <c r="E111">
        <v>253</v>
      </c>
    </row>
    <row r="112" spans="1:5">
      <c r="A112" s="2">
        <v>2018</v>
      </c>
      <c r="C112">
        <f t="shared" si="1"/>
        <v>52</v>
      </c>
      <c r="D112">
        <v>39</v>
      </c>
      <c r="E112">
        <v>177</v>
      </c>
    </row>
    <row r="113" spans="1:5">
      <c r="A113" s="2">
        <v>2014</v>
      </c>
      <c r="B113" t="s">
        <v>101</v>
      </c>
      <c r="C113">
        <f t="shared" si="1"/>
        <v>53</v>
      </c>
      <c r="D113">
        <v>47</v>
      </c>
      <c r="E113">
        <v>12</v>
      </c>
    </row>
    <row r="114" spans="1:5">
      <c r="A114" s="2">
        <v>2014</v>
      </c>
      <c r="C114">
        <f t="shared" si="1"/>
        <v>53</v>
      </c>
      <c r="D114">
        <v>39</v>
      </c>
      <c r="E114">
        <v>11</v>
      </c>
    </row>
    <row r="115" spans="1:5">
      <c r="A115" s="2">
        <v>2014</v>
      </c>
      <c r="B115" t="s">
        <v>102</v>
      </c>
      <c r="C115">
        <f t="shared" si="1"/>
        <v>54</v>
      </c>
      <c r="D115">
        <v>34</v>
      </c>
      <c r="E115">
        <v>17</v>
      </c>
    </row>
    <row r="116" spans="1:5">
      <c r="A116" s="2">
        <v>2014</v>
      </c>
      <c r="C116">
        <f t="shared" si="1"/>
        <v>54</v>
      </c>
      <c r="D116">
        <v>39</v>
      </c>
      <c r="E116">
        <v>15</v>
      </c>
    </row>
    <row r="117" spans="1:5">
      <c r="A117" s="2">
        <v>2011</v>
      </c>
      <c r="B117" t="s">
        <v>103</v>
      </c>
      <c r="C117">
        <f t="shared" si="1"/>
        <v>55</v>
      </c>
      <c r="D117">
        <v>51</v>
      </c>
      <c r="E117">
        <v>26</v>
      </c>
    </row>
    <row r="118" spans="1:5">
      <c r="A118" s="2">
        <v>2011</v>
      </c>
      <c r="C118">
        <f t="shared" si="1"/>
        <v>55</v>
      </c>
      <c r="D118">
        <v>39</v>
      </c>
      <c r="E118">
        <v>28</v>
      </c>
    </row>
    <row r="119" spans="1:5">
      <c r="A119" s="2">
        <v>2011</v>
      </c>
      <c r="B119" t="s">
        <v>104</v>
      </c>
      <c r="C119">
        <f t="shared" si="1"/>
        <v>56</v>
      </c>
      <c r="D119">
        <v>43</v>
      </c>
      <c r="E119">
        <v>375</v>
      </c>
    </row>
    <row r="120" spans="1:5">
      <c r="C120">
        <f t="shared" si="1"/>
        <v>56</v>
      </c>
      <c r="D120">
        <v>39</v>
      </c>
      <c r="E120">
        <v>115</v>
      </c>
    </row>
    <row r="121" spans="1:5">
      <c r="B121" t="s">
        <v>105</v>
      </c>
      <c r="C121">
        <f t="shared" si="1"/>
        <v>57</v>
      </c>
      <c r="D121">
        <v>43</v>
      </c>
      <c r="E121">
        <v>351</v>
      </c>
    </row>
    <row r="122" spans="1:5">
      <c r="C122">
        <f t="shared" si="1"/>
        <v>57</v>
      </c>
      <c r="D122">
        <v>39</v>
      </c>
      <c r="E122">
        <v>184</v>
      </c>
    </row>
    <row r="123" spans="1:5">
      <c r="B123" t="s">
        <v>106</v>
      </c>
      <c r="C123">
        <f t="shared" si="1"/>
        <v>58</v>
      </c>
      <c r="D123">
        <v>25</v>
      </c>
      <c r="E123">
        <v>369</v>
      </c>
    </row>
    <row r="124" spans="1:5">
      <c r="C124">
        <f t="shared" si="1"/>
        <v>58</v>
      </c>
      <c r="D124">
        <v>39</v>
      </c>
      <c r="E124">
        <v>185</v>
      </c>
    </row>
    <row r="125" spans="1:5">
      <c r="A125" s="2">
        <v>2001</v>
      </c>
      <c r="B125" t="s">
        <v>75</v>
      </c>
      <c r="C125">
        <f t="shared" si="1"/>
        <v>59</v>
      </c>
      <c r="D125">
        <v>37</v>
      </c>
      <c r="E125">
        <v>35</v>
      </c>
    </row>
    <row r="126" spans="1:5">
      <c r="A126" s="2">
        <v>2001</v>
      </c>
      <c r="C126">
        <f t="shared" si="1"/>
        <v>59</v>
      </c>
      <c r="D126">
        <v>19</v>
      </c>
      <c r="E126">
        <v>39</v>
      </c>
    </row>
    <row r="127" spans="1:5">
      <c r="A127" s="2">
        <v>2001</v>
      </c>
      <c r="C127">
        <f t="shared" si="1"/>
        <v>59</v>
      </c>
      <c r="D127">
        <v>39</v>
      </c>
      <c r="E127">
        <v>43</v>
      </c>
    </row>
    <row r="128" spans="1:5">
      <c r="A128" s="2">
        <v>2017</v>
      </c>
      <c r="B128" t="s">
        <v>76</v>
      </c>
      <c r="C128">
        <f t="shared" si="1"/>
        <v>60</v>
      </c>
      <c r="D128">
        <v>44</v>
      </c>
      <c r="E128">
        <v>8</v>
      </c>
    </row>
    <row r="129" spans="1:5">
      <c r="A129" s="2">
        <v>2017</v>
      </c>
      <c r="C129">
        <f t="shared" si="1"/>
        <v>60</v>
      </c>
      <c r="D129">
        <v>39</v>
      </c>
      <c r="E129">
        <v>11</v>
      </c>
    </row>
    <row r="130" spans="1:5">
      <c r="A130" s="2">
        <v>3762</v>
      </c>
      <c r="B130" t="s">
        <v>107</v>
      </c>
      <c r="C130">
        <f t="shared" si="1"/>
        <v>61</v>
      </c>
      <c r="D130">
        <v>44</v>
      </c>
      <c r="E130">
        <v>47</v>
      </c>
    </row>
    <row r="131" spans="1:5">
      <c r="A131" s="2">
        <v>3762</v>
      </c>
      <c r="C131">
        <f t="shared" si="1"/>
        <v>61</v>
      </c>
      <c r="D131">
        <v>39</v>
      </c>
      <c r="E131">
        <v>47</v>
      </c>
    </row>
    <row r="132" spans="1:5">
      <c r="A132" s="2">
        <v>2006</v>
      </c>
      <c r="B132" t="s">
        <v>78</v>
      </c>
      <c r="C132">
        <f t="shared" ref="C132:C195" si="2">IF(B132&lt;&gt;"", C131+1, C131)</f>
        <v>62</v>
      </c>
      <c r="D132">
        <v>6</v>
      </c>
      <c r="E132">
        <v>51</v>
      </c>
    </row>
    <row r="133" spans="1:5">
      <c r="A133" s="2">
        <v>2006</v>
      </c>
      <c r="C133">
        <f t="shared" si="2"/>
        <v>62</v>
      </c>
      <c r="D133">
        <v>49</v>
      </c>
      <c r="E133">
        <v>58</v>
      </c>
    </row>
    <row r="134" spans="1:5">
      <c r="A134" s="2">
        <v>2006</v>
      </c>
      <c r="C134">
        <f t="shared" si="2"/>
        <v>62</v>
      </c>
      <c r="D134">
        <v>52</v>
      </c>
      <c r="E134">
        <v>65</v>
      </c>
    </row>
    <row r="135" spans="1:5">
      <c r="A135" s="2">
        <v>2010</v>
      </c>
      <c r="B135" t="s">
        <v>108</v>
      </c>
      <c r="C135">
        <f t="shared" si="2"/>
        <v>63</v>
      </c>
      <c r="D135">
        <v>3</v>
      </c>
      <c r="E135">
        <v>12</v>
      </c>
    </row>
    <row r="136" spans="1:5">
      <c r="A136" s="2">
        <v>2010</v>
      </c>
      <c r="C136">
        <f t="shared" si="2"/>
        <v>63</v>
      </c>
      <c r="D136">
        <v>39</v>
      </c>
      <c r="E136">
        <v>11</v>
      </c>
    </row>
    <row r="137" spans="1:5">
      <c r="A137" s="2">
        <v>1994</v>
      </c>
      <c r="B137" t="s">
        <v>109</v>
      </c>
      <c r="C137">
        <f t="shared" si="2"/>
        <v>64</v>
      </c>
      <c r="D137">
        <v>6</v>
      </c>
      <c r="E137">
        <v>9</v>
      </c>
    </row>
    <row r="138" spans="1:5">
      <c r="A138" s="2">
        <v>1994</v>
      </c>
      <c r="C138">
        <f t="shared" si="2"/>
        <v>64</v>
      </c>
      <c r="D138">
        <v>14</v>
      </c>
      <c r="E138">
        <v>10</v>
      </c>
    </row>
    <row r="139" spans="1:5">
      <c r="A139" s="2">
        <v>2001</v>
      </c>
      <c r="B139" t="s">
        <v>110</v>
      </c>
      <c r="C139">
        <f t="shared" si="2"/>
        <v>65</v>
      </c>
      <c r="D139">
        <v>51</v>
      </c>
      <c r="E139">
        <v>23</v>
      </c>
    </row>
    <row r="140" spans="1:5">
      <c r="A140" s="2">
        <v>2001</v>
      </c>
      <c r="C140">
        <f t="shared" si="2"/>
        <v>65</v>
      </c>
      <c r="D140">
        <v>39</v>
      </c>
      <c r="E140">
        <v>22</v>
      </c>
    </row>
    <row r="141" spans="1:5">
      <c r="A141" s="2">
        <v>2011</v>
      </c>
      <c r="B141" t="s">
        <v>81</v>
      </c>
      <c r="C141">
        <f t="shared" si="2"/>
        <v>66</v>
      </c>
      <c r="D141">
        <v>54</v>
      </c>
      <c r="E141">
        <v>147</v>
      </c>
    </row>
    <row r="142" spans="1:5">
      <c r="A142" s="2">
        <v>2011</v>
      </c>
      <c r="C142">
        <f t="shared" si="2"/>
        <v>66</v>
      </c>
      <c r="D142">
        <v>39</v>
      </c>
      <c r="E142">
        <v>147</v>
      </c>
    </row>
    <row r="143" spans="1:5">
      <c r="A143" s="2">
        <v>2011</v>
      </c>
      <c r="B143" t="s">
        <v>111</v>
      </c>
      <c r="C143">
        <f t="shared" si="2"/>
        <v>67</v>
      </c>
      <c r="D143">
        <v>23</v>
      </c>
      <c r="E143">
        <v>19</v>
      </c>
    </row>
    <row r="144" spans="1:5">
      <c r="A144" s="2">
        <v>2011</v>
      </c>
      <c r="C144">
        <f t="shared" si="2"/>
        <v>67</v>
      </c>
      <c r="D144">
        <v>39</v>
      </c>
      <c r="E144">
        <v>16</v>
      </c>
    </row>
    <row r="145" spans="1:5">
      <c r="A145" s="2">
        <v>2018</v>
      </c>
      <c r="B145" t="s">
        <v>82</v>
      </c>
      <c r="C145">
        <f t="shared" si="2"/>
        <v>68</v>
      </c>
      <c r="D145">
        <v>28</v>
      </c>
      <c r="E145">
        <v>19</v>
      </c>
    </row>
    <row r="146" spans="1:5">
      <c r="A146" s="2">
        <v>2018</v>
      </c>
      <c r="C146">
        <f t="shared" si="2"/>
        <v>68</v>
      </c>
      <c r="D146">
        <v>5</v>
      </c>
      <c r="E146">
        <v>19</v>
      </c>
    </row>
    <row r="147" spans="1:5">
      <c r="A147" s="2">
        <v>2018</v>
      </c>
      <c r="C147">
        <f t="shared" si="2"/>
        <v>68</v>
      </c>
      <c r="D147">
        <v>39</v>
      </c>
      <c r="E147">
        <v>30</v>
      </c>
    </row>
    <row r="148" spans="1:5">
      <c r="A148" s="2">
        <v>2018</v>
      </c>
      <c r="C148">
        <f t="shared" si="2"/>
        <v>68</v>
      </c>
      <c r="D148">
        <v>29</v>
      </c>
      <c r="E148">
        <v>31</v>
      </c>
    </row>
    <row r="149" spans="1:5">
      <c r="A149" s="2">
        <v>2006</v>
      </c>
      <c r="B149" t="s">
        <v>112</v>
      </c>
      <c r="C149">
        <f t="shared" si="2"/>
        <v>69</v>
      </c>
      <c r="D149">
        <v>22</v>
      </c>
      <c r="E149">
        <v>10</v>
      </c>
    </row>
    <row r="150" spans="1:5">
      <c r="A150" s="2">
        <v>2006</v>
      </c>
      <c r="C150">
        <f t="shared" si="2"/>
        <v>69</v>
      </c>
      <c r="D150">
        <v>12</v>
      </c>
      <c r="E150">
        <v>10</v>
      </c>
    </row>
    <row r="151" spans="1:5">
      <c r="A151" s="2">
        <v>2004</v>
      </c>
      <c r="B151" t="s">
        <v>84</v>
      </c>
      <c r="C151">
        <f t="shared" si="2"/>
        <v>70</v>
      </c>
      <c r="D151">
        <v>37</v>
      </c>
      <c r="E151">
        <v>10</v>
      </c>
    </row>
    <row r="152" spans="1:5">
      <c r="A152" s="2">
        <v>2004</v>
      </c>
      <c r="C152">
        <f t="shared" si="2"/>
        <v>70</v>
      </c>
      <c r="D152">
        <v>45</v>
      </c>
      <c r="E152">
        <v>10</v>
      </c>
    </row>
    <row r="153" spans="1:5">
      <c r="A153" s="2">
        <v>2004</v>
      </c>
      <c r="C153">
        <f t="shared" si="2"/>
        <v>70</v>
      </c>
      <c r="D153">
        <v>46</v>
      </c>
      <c r="E153">
        <v>10</v>
      </c>
    </row>
    <row r="154" spans="1:5">
      <c r="A154" s="2">
        <v>2001</v>
      </c>
      <c r="B154" t="s">
        <v>113</v>
      </c>
      <c r="C154">
        <f t="shared" si="2"/>
        <v>71</v>
      </c>
      <c r="D154">
        <v>31</v>
      </c>
      <c r="E154">
        <v>81</v>
      </c>
    </row>
    <row r="155" spans="1:5">
      <c r="A155" s="2">
        <v>2001</v>
      </c>
      <c r="C155">
        <f t="shared" si="2"/>
        <v>71</v>
      </c>
      <c r="D155">
        <v>19</v>
      </c>
      <c r="E155">
        <v>75</v>
      </c>
    </row>
    <row r="156" spans="1:5">
      <c r="A156" s="2">
        <v>2008</v>
      </c>
      <c r="B156" t="s">
        <v>114</v>
      </c>
      <c r="C156">
        <f t="shared" si="2"/>
        <v>72</v>
      </c>
      <c r="D156">
        <v>22</v>
      </c>
      <c r="E156">
        <v>44</v>
      </c>
    </row>
    <row r="157" spans="1:5">
      <c r="A157" s="2">
        <v>2008</v>
      </c>
      <c r="C157">
        <f t="shared" si="2"/>
        <v>72</v>
      </c>
      <c r="D157">
        <v>24</v>
      </c>
      <c r="E157">
        <v>54</v>
      </c>
    </row>
    <row r="158" spans="1:5">
      <c r="A158" s="2">
        <v>2010</v>
      </c>
      <c r="B158" t="s">
        <v>115</v>
      </c>
      <c r="C158">
        <f t="shared" si="2"/>
        <v>73</v>
      </c>
      <c r="D158">
        <v>42</v>
      </c>
      <c r="E158">
        <v>140</v>
      </c>
    </row>
    <row r="159" spans="1:5">
      <c r="A159" s="2">
        <v>2010</v>
      </c>
      <c r="C159">
        <f t="shared" si="2"/>
        <v>73</v>
      </c>
      <c r="D159">
        <v>39</v>
      </c>
      <c r="E159">
        <v>140</v>
      </c>
    </row>
    <row r="160" spans="1:5">
      <c r="A160" s="2">
        <v>2016</v>
      </c>
      <c r="B160" t="s">
        <v>87</v>
      </c>
      <c r="C160">
        <f t="shared" si="2"/>
        <v>74</v>
      </c>
      <c r="D160">
        <v>26</v>
      </c>
      <c r="E160">
        <v>180</v>
      </c>
    </row>
    <row r="161" spans="1:5">
      <c r="A161" s="2">
        <v>2016</v>
      </c>
      <c r="C161">
        <f t="shared" si="2"/>
        <v>74</v>
      </c>
      <c r="D161">
        <v>39</v>
      </c>
      <c r="E161">
        <v>176</v>
      </c>
    </row>
    <row r="162" spans="1:5">
      <c r="A162" s="2">
        <v>2023</v>
      </c>
      <c r="B162" t="s">
        <v>116</v>
      </c>
      <c r="C162">
        <f t="shared" si="2"/>
        <v>75</v>
      </c>
      <c r="D162">
        <v>25</v>
      </c>
      <c r="E162">
        <v>353</v>
      </c>
    </row>
    <row r="163" spans="1:5">
      <c r="A163" s="2">
        <v>2023</v>
      </c>
      <c r="C163">
        <f t="shared" si="2"/>
        <v>75</v>
      </c>
      <c r="D163">
        <v>39</v>
      </c>
      <c r="E163">
        <v>175</v>
      </c>
    </row>
    <row r="164" spans="1:5">
      <c r="A164" s="2">
        <v>2006</v>
      </c>
      <c r="B164" t="s">
        <v>88</v>
      </c>
      <c r="C164">
        <f t="shared" si="2"/>
        <v>76</v>
      </c>
      <c r="D164">
        <v>42</v>
      </c>
      <c r="E164">
        <v>341</v>
      </c>
    </row>
    <row r="165" spans="1:5">
      <c r="A165" s="2">
        <v>2006</v>
      </c>
      <c r="C165">
        <f t="shared" si="2"/>
        <v>76</v>
      </c>
      <c r="D165">
        <v>39</v>
      </c>
      <c r="E165">
        <v>172</v>
      </c>
    </row>
    <row r="166" spans="1:5">
      <c r="A166" s="2">
        <v>2008</v>
      </c>
      <c r="B166" t="s">
        <v>117</v>
      </c>
      <c r="C166">
        <f t="shared" si="2"/>
        <v>77</v>
      </c>
      <c r="D166">
        <v>2</v>
      </c>
      <c r="E166">
        <v>186</v>
      </c>
    </row>
    <row r="167" spans="1:5">
      <c r="A167" s="2">
        <v>2008</v>
      </c>
      <c r="C167">
        <f t="shared" si="2"/>
        <v>77</v>
      </c>
      <c r="D167">
        <v>39</v>
      </c>
      <c r="E167">
        <v>188</v>
      </c>
    </row>
    <row r="168" spans="1:5">
      <c r="A168" s="2">
        <v>2008</v>
      </c>
      <c r="B168" t="s">
        <v>118</v>
      </c>
      <c r="C168">
        <f t="shared" si="2"/>
        <v>78</v>
      </c>
      <c r="D168">
        <v>2</v>
      </c>
      <c r="E168">
        <v>187</v>
      </c>
    </row>
    <row r="169" spans="1:5">
      <c r="A169" s="2">
        <v>2008</v>
      </c>
      <c r="C169">
        <f t="shared" si="2"/>
        <v>78</v>
      </c>
      <c r="D169">
        <v>39</v>
      </c>
      <c r="E169">
        <v>188</v>
      </c>
    </row>
    <row r="170" spans="1:5">
      <c r="A170" s="2">
        <v>2003</v>
      </c>
      <c r="B170" t="s">
        <v>89</v>
      </c>
      <c r="C170">
        <f t="shared" si="2"/>
        <v>79</v>
      </c>
      <c r="D170">
        <v>36</v>
      </c>
      <c r="E170">
        <v>370</v>
      </c>
    </row>
    <row r="171" spans="1:5">
      <c r="A171" s="2">
        <v>2003</v>
      </c>
      <c r="C171">
        <f t="shared" si="2"/>
        <v>79</v>
      </c>
      <c r="D171">
        <v>39</v>
      </c>
      <c r="E171">
        <v>377</v>
      </c>
    </row>
    <row r="172" spans="1:5">
      <c r="A172" s="2">
        <v>2012</v>
      </c>
      <c r="B172" t="s">
        <v>90</v>
      </c>
      <c r="C172">
        <f t="shared" si="2"/>
        <v>80</v>
      </c>
      <c r="D172">
        <v>36</v>
      </c>
      <c r="E172">
        <v>343</v>
      </c>
    </row>
    <row r="173" spans="1:5">
      <c r="A173" s="2">
        <v>2012</v>
      </c>
      <c r="C173">
        <f t="shared" si="2"/>
        <v>80</v>
      </c>
      <c r="D173">
        <v>39</v>
      </c>
      <c r="E173">
        <v>171</v>
      </c>
    </row>
    <row r="174" spans="1:5">
      <c r="A174" s="2">
        <v>2018</v>
      </c>
      <c r="B174" t="s">
        <v>123</v>
      </c>
      <c r="C174">
        <f t="shared" si="2"/>
        <v>81</v>
      </c>
      <c r="D174">
        <v>13</v>
      </c>
      <c r="E174">
        <v>17</v>
      </c>
    </row>
    <row r="175" spans="1:5">
      <c r="A175" s="2">
        <v>2018</v>
      </c>
      <c r="C175">
        <f t="shared" si="2"/>
        <v>81</v>
      </c>
      <c r="D175">
        <v>39</v>
      </c>
      <c r="E175">
        <v>18</v>
      </c>
    </row>
    <row r="176" spans="1:5">
      <c r="A176" s="2">
        <v>2009</v>
      </c>
      <c r="B176" t="s">
        <v>124</v>
      </c>
      <c r="C176">
        <f t="shared" si="2"/>
        <v>82</v>
      </c>
      <c r="D176">
        <v>22</v>
      </c>
      <c r="E176">
        <v>64</v>
      </c>
    </row>
    <row r="177" spans="1:5">
      <c r="A177" s="2">
        <v>2009</v>
      </c>
      <c r="C177">
        <f t="shared" si="2"/>
        <v>82</v>
      </c>
      <c r="D177">
        <v>39</v>
      </c>
      <c r="E177">
        <v>60</v>
      </c>
    </row>
    <row r="178" spans="1:5">
      <c r="A178" s="2">
        <v>2002</v>
      </c>
      <c r="B178" t="s">
        <v>125</v>
      </c>
      <c r="C178">
        <f t="shared" si="2"/>
        <v>83</v>
      </c>
      <c r="D178">
        <v>37</v>
      </c>
      <c r="E178">
        <v>30</v>
      </c>
    </row>
    <row r="179" spans="1:5">
      <c r="A179" s="2">
        <v>2002</v>
      </c>
      <c r="C179">
        <f t="shared" si="2"/>
        <v>83</v>
      </c>
      <c r="D179">
        <v>52</v>
      </c>
      <c r="E179">
        <v>30</v>
      </c>
    </row>
    <row r="180" spans="1:5">
      <c r="A180" s="2">
        <v>2014</v>
      </c>
      <c r="B180" t="s">
        <v>126</v>
      </c>
      <c r="C180">
        <f t="shared" si="2"/>
        <v>84</v>
      </c>
      <c r="D180">
        <v>36</v>
      </c>
      <c r="E180">
        <v>34</v>
      </c>
    </row>
    <row r="181" spans="1:5">
      <c r="A181" s="2">
        <v>2014</v>
      </c>
      <c r="C181">
        <f t="shared" si="2"/>
        <v>84</v>
      </c>
      <c r="D181">
        <v>39</v>
      </c>
      <c r="E181">
        <v>34</v>
      </c>
    </row>
    <row r="182" spans="1:5">
      <c r="A182" s="2">
        <v>2021</v>
      </c>
      <c r="B182" t="s">
        <v>128</v>
      </c>
      <c r="C182">
        <f t="shared" si="2"/>
        <v>85</v>
      </c>
      <c r="D182">
        <v>16</v>
      </c>
      <c r="E182">
        <v>65</v>
      </c>
    </row>
    <row r="183" spans="1:5">
      <c r="A183" s="2">
        <v>2021</v>
      </c>
      <c r="C183">
        <f t="shared" si="2"/>
        <v>85</v>
      </c>
      <c r="D183">
        <v>39</v>
      </c>
      <c r="E183">
        <v>22</v>
      </c>
    </row>
    <row r="184" spans="1:5">
      <c r="A184" s="2">
        <v>2016</v>
      </c>
      <c r="B184" t="s">
        <v>129</v>
      </c>
      <c r="C184">
        <f t="shared" si="2"/>
        <v>86</v>
      </c>
      <c r="D184">
        <v>1</v>
      </c>
      <c r="E184">
        <v>172</v>
      </c>
    </row>
    <row r="185" spans="1:5">
      <c r="A185" s="2">
        <v>2016</v>
      </c>
      <c r="C185">
        <f t="shared" si="2"/>
        <v>86</v>
      </c>
      <c r="D185">
        <v>39</v>
      </c>
      <c r="E185">
        <v>172</v>
      </c>
    </row>
    <row r="186" spans="1:5">
      <c r="A186" s="2">
        <v>8522</v>
      </c>
      <c r="B186" t="s">
        <v>121</v>
      </c>
      <c r="C186">
        <f t="shared" si="2"/>
        <v>87</v>
      </c>
      <c r="D186">
        <v>9</v>
      </c>
      <c r="E186">
        <v>154</v>
      </c>
    </row>
    <row r="187" spans="1:5">
      <c r="A187" s="2">
        <v>8522</v>
      </c>
      <c r="C187">
        <f t="shared" si="2"/>
        <v>87</v>
      </c>
      <c r="D187">
        <v>39</v>
      </c>
      <c r="E187">
        <v>79</v>
      </c>
    </row>
    <row r="188" spans="1:5">
      <c r="A188" s="2">
        <v>2010</v>
      </c>
      <c r="B188" t="s">
        <v>131</v>
      </c>
      <c r="C188">
        <f t="shared" si="2"/>
        <v>88</v>
      </c>
      <c r="D188">
        <v>42</v>
      </c>
      <c r="E188">
        <v>533</v>
      </c>
    </row>
    <row r="189" spans="1:5">
      <c r="A189" s="2">
        <v>2010</v>
      </c>
      <c r="C189">
        <f t="shared" si="2"/>
        <v>88</v>
      </c>
      <c r="D189">
        <v>39</v>
      </c>
      <c r="E189">
        <v>133</v>
      </c>
    </row>
    <row r="190" spans="1:5">
      <c r="A190" s="2">
        <v>2010</v>
      </c>
      <c r="C190">
        <f t="shared" si="2"/>
        <v>88</v>
      </c>
      <c r="D190">
        <v>24</v>
      </c>
      <c r="E190">
        <v>136</v>
      </c>
    </row>
    <row r="191" spans="1:5">
      <c r="A191" s="2">
        <v>2004</v>
      </c>
      <c r="B191" t="s">
        <v>132</v>
      </c>
      <c r="C191">
        <f t="shared" si="2"/>
        <v>89</v>
      </c>
      <c r="D191">
        <v>40</v>
      </c>
      <c r="E191">
        <v>10</v>
      </c>
    </row>
    <row r="192" spans="1:5">
      <c r="A192" s="2">
        <v>2004</v>
      </c>
      <c r="C192">
        <f t="shared" si="2"/>
        <v>89</v>
      </c>
      <c r="D192">
        <v>39</v>
      </c>
      <c r="E192">
        <v>11</v>
      </c>
    </row>
    <row r="193" spans="1:5">
      <c r="A193" s="2">
        <v>2015</v>
      </c>
      <c r="B193" t="s">
        <v>133</v>
      </c>
      <c r="C193">
        <f t="shared" si="2"/>
        <v>90</v>
      </c>
      <c r="D193">
        <v>38</v>
      </c>
      <c r="E193">
        <v>24</v>
      </c>
    </row>
    <row r="194" spans="1:5">
      <c r="A194" s="2">
        <v>2015</v>
      </c>
      <c r="C194">
        <f t="shared" si="2"/>
        <v>90</v>
      </c>
      <c r="D194">
        <v>39</v>
      </c>
      <c r="E194">
        <v>24</v>
      </c>
    </row>
    <row r="195" spans="1:5">
      <c r="A195" s="2">
        <v>2007</v>
      </c>
      <c r="B195" t="s">
        <v>122</v>
      </c>
      <c r="C195">
        <f t="shared" si="2"/>
        <v>91</v>
      </c>
      <c r="D195">
        <v>7</v>
      </c>
      <c r="E195">
        <v>49</v>
      </c>
    </row>
    <row r="196" spans="1:5">
      <c r="A196" s="2">
        <v>2007</v>
      </c>
      <c r="C196">
        <f t="shared" ref="C196:C197" si="3">IF(B196&lt;&gt;"", C195+1, C195)</f>
        <v>91</v>
      </c>
      <c r="D196">
        <v>39</v>
      </c>
      <c r="E196">
        <v>25</v>
      </c>
    </row>
    <row r="197" spans="1:5">
      <c r="A197" s="2">
        <v>2007</v>
      </c>
      <c r="C197">
        <f t="shared" si="3"/>
        <v>91</v>
      </c>
      <c r="D197">
        <v>8</v>
      </c>
      <c r="E197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E89DF-1AF3-FF4F-8EE9-41A876F80693}">
  <dimension ref="E11:E65"/>
  <sheetViews>
    <sheetView workbookViewId="0">
      <selection activeCell="E21" sqref="E21:E22"/>
    </sheetView>
  </sheetViews>
  <sheetFormatPr baseColWidth="10" defaultRowHeight="16"/>
  <sheetData>
    <row r="11" spans="5:5">
      <c r="E11" s="1" t="s">
        <v>120</v>
      </c>
    </row>
    <row r="12" spans="5:5">
      <c r="E12" s="1" t="s">
        <v>79</v>
      </c>
    </row>
    <row r="13" spans="5:5">
      <c r="E13" s="1" t="s">
        <v>135</v>
      </c>
    </row>
    <row r="14" spans="5:5">
      <c r="E14" s="1" t="s">
        <v>14</v>
      </c>
    </row>
    <row r="15" spans="5:5">
      <c r="E15" s="1" t="s">
        <v>83</v>
      </c>
    </row>
    <row r="16" spans="5:5">
      <c r="E16" s="1" t="s">
        <v>29</v>
      </c>
    </row>
    <row r="17" spans="5:5">
      <c r="E17" s="1" t="s">
        <v>148</v>
      </c>
    </row>
    <row r="18" spans="5:5">
      <c r="E18" s="1" t="s">
        <v>134</v>
      </c>
    </row>
    <row r="19" spans="5:5">
      <c r="E19" s="1" t="s">
        <v>130</v>
      </c>
    </row>
    <row r="20" spans="5:5">
      <c r="E20" s="1" t="s">
        <v>40</v>
      </c>
    </row>
    <row r="21" spans="5:5">
      <c r="E21" s="1" t="s">
        <v>31</v>
      </c>
    </row>
    <row r="22" spans="5:5">
      <c r="E22" s="1" t="s">
        <v>25</v>
      </c>
    </row>
    <row r="23" spans="5:5">
      <c r="E23" s="1" t="s">
        <v>119</v>
      </c>
    </row>
    <row r="24" spans="5:5">
      <c r="E24" s="1" t="s">
        <v>80</v>
      </c>
    </row>
    <row r="25" spans="5:5">
      <c r="E25" s="1" t="s">
        <v>64</v>
      </c>
    </row>
    <row r="26" spans="5:5">
      <c r="E26" s="1" t="s">
        <v>127</v>
      </c>
    </row>
    <row r="27" spans="5:5">
      <c r="E27" s="1" t="s">
        <v>5</v>
      </c>
    </row>
    <row r="28" spans="5:5">
      <c r="E28" s="1" t="s">
        <v>28</v>
      </c>
    </row>
    <row r="29" spans="5:5">
      <c r="E29" s="1" t="s">
        <v>18</v>
      </c>
    </row>
    <row r="30" spans="5:5">
      <c r="E30" s="1" t="s">
        <v>71</v>
      </c>
    </row>
    <row r="31" spans="5:5">
      <c r="E31" s="1" t="s">
        <v>16</v>
      </c>
    </row>
    <row r="32" spans="5:5">
      <c r="E32" s="1" t="s">
        <v>11</v>
      </c>
    </row>
    <row r="33" spans="5:5">
      <c r="E33" s="1" t="s">
        <v>136</v>
      </c>
    </row>
    <row r="34" spans="5:5">
      <c r="E34" s="1" t="s">
        <v>2</v>
      </c>
    </row>
    <row r="35" spans="5:5">
      <c r="E35" s="1" t="s">
        <v>137</v>
      </c>
    </row>
    <row r="36" spans="5:5">
      <c r="E36" s="1" t="s">
        <v>63</v>
      </c>
    </row>
    <row r="37" spans="5:5">
      <c r="E37" s="1" t="s">
        <v>7</v>
      </c>
    </row>
    <row r="38" spans="5:5">
      <c r="E38" s="1" t="s">
        <v>30</v>
      </c>
    </row>
    <row r="39" spans="5:5">
      <c r="E39" s="1" t="s">
        <v>138</v>
      </c>
    </row>
    <row r="40" spans="5:5">
      <c r="E40" s="1" t="s">
        <v>139</v>
      </c>
    </row>
    <row r="41" spans="5:5">
      <c r="E41" s="1" t="s">
        <v>140</v>
      </c>
    </row>
    <row r="42" spans="5:5">
      <c r="E42" s="1" t="s">
        <v>22</v>
      </c>
    </row>
    <row r="43" spans="5:5">
      <c r="E43" s="1" t="s">
        <v>39</v>
      </c>
    </row>
    <row r="44" spans="5:5">
      <c r="E44" s="1" t="s">
        <v>74</v>
      </c>
    </row>
    <row r="45" spans="5:5">
      <c r="E45" s="1" t="s">
        <v>141</v>
      </c>
    </row>
    <row r="46" spans="5:5">
      <c r="E46" s="1" t="s">
        <v>4</v>
      </c>
    </row>
    <row r="47" spans="5:5">
      <c r="E47" s="1" t="s">
        <v>69</v>
      </c>
    </row>
    <row r="48" spans="5:5">
      <c r="E48" s="1" t="s">
        <v>151</v>
      </c>
    </row>
    <row r="49" spans="5:5">
      <c r="E49" s="1" t="s">
        <v>1</v>
      </c>
    </row>
    <row r="50" spans="5:5">
      <c r="E50" s="1" t="s">
        <v>26</v>
      </c>
    </row>
    <row r="51" spans="5:5">
      <c r="E51" s="1" t="s">
        <v>142</v>
      </c>
    </row>
    <row r="52" spans="5:5">
      <c r="E52" s="1" t="s">
        <v>86</v>
      </c>
    </row>
    <row r="53" spans="5:5">
      <c r="E53" s="1" t="s">
        <v>143</v>
      </c>
    </row>
    <row r="54" spans="5:5">
      <c r="E54" s="1" t="s">
        <v>77</v>
      </c>
    </row>
    <row r="55" spans="5:5">
      <c r="E55" s="1" t="s">
        <v>85</v>
      </c>
    </row>
    <row r="56" spans="5:5">
      <c r="E56" s="1" t="s">
        <v>144</v>
      </c>
    </row>
    <row r="57" spans="5:5">
      <c r="E57" s="1" t="s">
        <v>73</v>
      </c>
    </row>
    <row r="58" spans="5:5">
      <c r="E58" s="1" t="s">
        <v>66</v>
      </c>
    </row>
    <row r="59" spans="5:5">
      <c r="E59" s="1" t="s">
        <v>3</v>
      </c>
    </row>
    <row r="60" spans="5:5">
      <c r="E60" s="1" t="s">
        <v>70</v>
      </c>
    </row>
    <row r="61" spans="5:5">
      <c r="E61" s="1" t="s">
        <v>20</v>
      </c>
    </row>
    <row r="62" spans="5:5">
      <c r="E62" s="1" t="s">
        <v>6</v>
      </c>
    </row>
    <row r="63" spans="5:5">
      <c r="E63" s="1" t="s">
        <v>68</v>
      </c>
    </row>
    <row r="64" spans="5:5">
      <c r="E64" s="1" t="s">
        <v>9</v>
      </c>
    </row>
    <row r="65" spans="5:5">
      <c r="E65" s="1" t="s">
        <v>19</v>
      </c>
    </row>
  </sheetData>
  <autoFilter ref="E11:E65" xr:uid="{7BFE89DF-1AF3-FF4F-8EE9-41A876F8069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2025-04-18T15:50:56Z</dcterms:created>
  <dcterms:modified xsi:type="dcterms:W3CDTF">2025-04-18T20:45:10Z</dcterms:modified>
</cp:coreProperties>
</file>