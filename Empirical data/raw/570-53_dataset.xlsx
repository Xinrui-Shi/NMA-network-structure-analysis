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66" documentId="8_{AF4185AB-9687-4352-A2F0-D04931F9C192}" xr6:coauthVersionLast="47" xr6:coauthVersionMax="47" xr10:uidLastSave="{2799121B-453A-4830-9EC4-D83D71F7F27F}"/>
  <bookViews>
    <workbookView xWindow="15345" yWindow="90" windowWidth="13260" windowHeight="14115" xr2:uid="{751DD06A-E1A9-4DED-A4C7-568A52C03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<sst xmlns="http://schemas.openxmlformats.org/spreadsheetml/2006/main" count="28" uniqueCount="28">
  <si>
    <t>StudyName</t>
  </si>
  <si>
    <t>StudyID</t>
  </si>
  <si>
    <t>treatments</t>
  </si>
  <si>
    <t>Demetri2013</t>
  </si>
  <si>
    <t>Regorafenib</t>
  </si>
  <si>
    <t xml:space="preserve">Placebo </t>
  </si>
  <si>
    <t>Kang2013</t>
  </si>
  <si>
    <t>Imatinib</t>
  </si>
  <si>
    <t>Demetri2006</t>
  </si>
  <si>
    <t>Sunitinib</t>
  </si>
  <si>
    <t>Blay2020</t>
  </si>
  <si>
    <t>Ripretinib</t>
  </si>
  <si>
    <t>Adenis2014</t>
  </si>
  <si>
    <t>Masitinib</t>
  </si>
  <si>
    <t>Demetri2012</t>
  </si>
  <si>
    <t>Mir2016</t>
  </si>
  <si>
    <t>Pazopanib</t>
  </si>
  <si>
    <t>Bauer2022</t>
  </si>
  <si>
    <t>Kurokaw2022</t>
  </si>
  <si>
    <t>Pimitespib</t>
  </si>
  <si>
    <t>t1</t>
  </si>
  <si>
    <t>t2</t>
  </si>
  <si>
    <t>n1</t>
  </si>
  <si>
    <t>n2</t>
  </si>
  <si>
    <t>effect</t>
  </si>
  <si>
    <t>CIL</t>
  </si>
  <si>
    <t>CIH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</si>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</sst>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7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264E-A048-4B2A-AF8C-A3BE72D125E6}">
  <dimension ref="A1:M10"/>
  <sheetViews>
    <sheetView tabSelected="1" workbookViewId="0">
      <selection activeCell="K10" sqref="K10"/>
    </sheetView>
  </sheetViews>
  <sheetFormatPr defaultRowHeight="15" x14ac:dyDescent="0.25"/>
  <cols>
    <col min="13" max="13" width="17.42578125" customWidth="1"/>
  </cols>
  <sheetData>
    <row r="1" spans="1:13" x14ac:dyDescent="0.25">
      <c r="A1" s="2" t="s">
        <v>0</v>
      </c>
      <c r="B1" s="2" t="s">
        <v>27</v>
      </c>
      <c r="C1" s="1" t="s">
        <v>1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L1" s="2" t="s">
        <v>2</v>
      </c>
    </row>
    <row r="2" spans="1:13" x14ac:dyDescent="0.25">
      <c r="A2" s="4" t="s">
        <v>3</v>
      </c>
      <c r="B2" s="4" t="str">
        <f>RIGHT(A2, 4)</f>
        <v>2013</v>
      </c>
      <c r="C2">
        <v>1</v>
      </c>
      <c r="D2">
        <v>1</v>
      </c>
      <c r="E2">
        <v>2</v>
      </c>
      <c r="F2">
        <v>133</v>
      </c>
      <c r="G2">
        <v>66</v>
      </c>
      <c r="H2">
        <v>0.27</v>
      </c>
      <c r="I2">
        <v>0.19</v>
      </c>
      <c r="J2">
        <v>0.39</v>
      </c>
      <c r="L2" s="6">
        <v>1</v>
      </c>
      <c r="M2" s="5" t="s">
        <v>4</v>
      </c>
    </row>
    <row r="3" spans="1:13" x14ac:dyDescent="0.25">
      <c r="A3" s="4" t="s">
        <v>6</v>
      </c>
      <c r="B3" s="4" t="str">
        <f t="shared" ref="B3:B10" si="0">RIGHT(A3, 4)</f>
        <v>2013</v>
      </c>
      <c r="C3">
        <v>2</v>
      </c>
      <c r="D3">
        <v>3</v>
      </c>
      <c r="E3">
        <v>2</v>
      </c>
      <c r="F3">
        <v>41</v>
      </c>
      <c r="G3">
        <v>40</v>
      </c>
      <c r="H3">
        <v>0.46</v>
      </c>
      <c r="I3">
        <v>0.27</v>
      </c>
      <c r="J3">
        <v>0.78</v>
      </c>
      <c r="L3" s="6">
        <v>2</v>
      </c>
      <c r="M3" s="6" t="s">
        <v>5</v>
      </c>
    </row>
    <row r="4" spans="1:13" x14ac:dyDescent="0.25">
      <c r="A4" s="4" t="s">
        <v>8</v>
      </c>
      <c r="B4" s="4" t="str">
        <f t="shared" si="0"/>
        <v>2006</v>
      </c>
      <c r="C4">
        <v>3</v>
      </c>
      <c r="D4">
        <v>4</v>
      </c>
      <c r="E4">
        <v>2</v>
      </c>
      <c r="F4">
        <v>207</v>
      </c>
      <c r="G4">
        <v>105</v>
      </c>
      <c r="H4">
        <v>0.33</v>
      </c>
      <c r="I4">
        <v>0.23</v>
      </c>
      <c r="J4">
        <v>0.47</v>
      </c>
      <c r="L4" s="6">
        <v>3</v>
      </c>
      <c r="M4" s="5" t="s">
        <v>7</v>
      </c>
    </row>
    <row r="5" spans="1:13" x14ac:dyDescent="0.25">
      <c r="A5" t="s">
        <v>10</v>
      </c>
      <c r="B5" s="4" t="str">
        <f t="shared" si="0"/>
        <v>2020</v>
      </c>
      <c r="C5">
        <v>4</v>
      </c>
      <c r="D5">
        <v>5</v>
      </c>
      <c r="E5">
        <v>2</v>
      </c>
      <c r="F5">
        <v>85</v>
      </c>
      <c r="G5">
        <v>44</v>
      </c>
      <c r="H5">
        <v>0.15</v>
      </c>
      <c r="I5">
        <v>0.09</v>
      </c>
      <c r="J5">
        <v>0.25</v>
      </c>
      <c r="L5" s="6">
        <v>4</v>
      </c>
      <c r="M5" s="7" t="s">
        <v>9</v>
      </c>
    </row>
    <row r="6" spans="1:13" x14ac:dyDescent="0.25">
      <c r="A6" s="3" t="s">
        <v>12</v>
      </c>
      <c r="B6" s="4" t="str">
        <f t="shared" si="0"/>
        <v>2014</v>
      </c>
      <c r="C6">
        <v>5</v>
      </c>
      <c r="D6">
        <v>6</v>
      </c>
      <c r="E6">
        <v>4</v>
      </c>
      <c r="F6">
        <v>23</v>
      </c>
      <c r="G6">
        <v>21</v>
      </c>
      <c r="H6">
        <v>1.1000000000000001</v>
      </c>
      <c r="I6">
        <v>0.6</v>
      </c>
      <c r="J6">
        <v>2.2000000000000002</v>
      </c>
      <c r="L6" s="6">
        <v>5</v>
      </c>
      <c r="M6" s="5" t="s">
        <v>11</v>
      </c>
    </row>
    <row r="7" spans="1:13" x14ac:dyDescent="0.25">
      <c r="A7" s="3" t="s">
        <v>14</v>
      </c>
      <c r="B7" s="4" t="str">
        <f t="shared" si="0"/>
        <v>2012</v>
      </c>
      <c r="C7">
        <v>6</v>
      </c>
      <c r="D7">
        <v>4</v>
      </c>
      <c r="E7">
        <v>2</v>
      </c>
      <c r="F7">
        <v>243</v>
      </c>
      <c r="G7">
        <v>118</v>
      </c>
      <c r="H7">
        <v>0.34699999999999998</v>
      </c>
      <c r="I7">
        <v>0.253</v>
      </c>
      <c r="J7">
        <v>0.47499999999999998</v>
      </c>
      <c r="L7" s="6">
        <v>6</v>
      </c>
      <c r="M7" s="8" t="s">
        <v>13</v>
      </c>
    </row>
    <row r="8" spans="1:13" x14ac:dyDescent="0.25">
      <c r="A8" s="3" t="s">
        <v>15</v>
      </c>
      <c r="B8" s="4" t="str">
        <f t="shared" si="0"/>
        <v>2016</v>
      </c>
      <c r="C8">
        <v>7</v>
      </c>
      <c r="D8">
        <v>7</v>
      </c>
      <c r="E8">
        <v>2</v>
      </c>
      <c r="F8">
        <v>40</v>
      </c>
      <c r="G8">
        <v>41</v>
      </c>
      <c r="H8">
        <v>0.59</v>
      </c>
      <c r="I8">
        <v>0.37</v>
      </c>
      <c r="J8">
        <v>0.96</v>
      </c>
      <c r="L8" s="6">
        <v>7</v>
      </c>
      <c r="M8" s="5" t="s">
        <v>16</v>
      </c>
    </row>
    <row r="9" spans="1:13" x14ac:dyDescent="0.25">
      <c r="A9" s="3" t="s">
        <v>17</v>
      </c>
      <c r="B9" s="4" t="str">
        <f t="shared" si="0"/>
        <v>2022</v>
      </c>
      <c r="C9">
        <v>8</v>
      </c>
      <c r="D9">
        <v>5</v>
      </c>
      <c r="E9">
        <v>4</v>
      </c>
      <c r="F9">
        <v>226</v>
      </c>
      <c r="G9">
        <v>227</v>
      </c>
      <c r="H9">
        <v>1.05</v>
      </c>
      <c r="I9">
        <v>0.82</v>
      </c>
      <c r="J9">
        <v>1.33</v>
      </c>
      <c r="L9" s="6">
        <v>8</v>
      </c>
      <c r="M9" s="5" t="s">
        <v>19</v>
      </c>
    </row>
    <row r="10" spans="1:13" x14ac:dyDescent="0.25">
      <c r="A10" s="3" t="s">
        <v>18</v>
      </c>
      <c r="B10" s="4" t="str">
        <f t="shared" si="0"/>
        <v>2022</v>
      </c>
      <c r="C10">
        <v>9</v>
      </c>
      <c r="D10">
        <v>8</v>
      </c>
      <c r="E10">
        <v>2</v>
      </c>
      <c r="F10">
        <v>58</v>
      </c>
      <c r="G10">
        <v>28</v>
      </c>
      <c r="H10">
        <v>0.51</v>
      </c>
      <c r="I10">
        <v>0.3</v>
      </c>
      <c r="J10">
        <v>0.87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69E7BD8C-06CD-4145-86ED-52DEF535F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1EB2DC-A4C5-4F35-946F-7C7B0B07E3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185853-74E4-47A5-A436-15F6FCE94441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Davies</dc:creator>
  <cp:lastModifiedBy>Monika Halicka</cp:lastModifiedBy>
  <dcterms:created xsi:type="dcterms:W3CDTF">2025-02-13T14:57:39Z</dcterms:created>
  <dcterms:modified xsi:type="dcterms:W3CDTF">2025-12-15T12:09:57Z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