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8_{511619E6-4778-8042-92A1-039B3121F62A}" xr6:coauthVersionLast="47" xr6:coauthVersionMax="47" xr10:uidLastSave="{00000000-0000-0000-0000-000000000000}"/>
  <bookViews>
    <workbookView xWindow="1060" yWindow="860" windowWidth="28100" windowHeight="17020" xr2:uid="{D428DD39-F524-7A4D-97AB-800D9183B575}"/>
  </bookViews>
  <sheets>
    <sheet name="Sheet1" sheetId="1" r:id="rId1"/>
  </sheets>
  <definedNames>
    <definedName name="_Hlk139111021" localSheetId="0">Sheet1!$B$6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 a="1"/>
  <c r="C39" i="1" s="1"/>
  <c r="C40" i="1" s="1" a="1"/>
  <c r="C40" i="1" s="1"/>
  <c r="C41" i="1" a="1"/>
  <c r="C41" i="1" s="1"/>
  <c r="C42" i="1" s="1" a="1"/>
  <c r="C42" i="1" s="1"/>
  <c r="C43" i="1" a="1"/>
  <c r="C43" i="1" s="1"/>
  <c r="C44" i="1" s="1" a="1"/>
  <c r="C44" i="1" s="1"/>
  <c r="C45" i="1" a="1"/>
  <c r="C45" i="1" s="1"/>
  <c r="C46" i="1" s="1" a="1"/>
  <c r="C46" i="1" s="1"/>
  <c r="C47" i="1" a="1"/>
  <c r="C47" i="1" s="1"/>
  <c r="C48" i="1" s="1" a="1"/>
  <c r="C48" i="1" s="1"/>
  <c r="C49" i="1" a="1"/>
  <c r="C49" i="1" s="1"/>
  <c r="C50" i="1" s="1" a="1"/>
  <c r="C50" i="1" s="1"/>
  <c r="C51" i="1" s="1" a="1"/>
  <c r="C51" i="1" s="1"/>
  <c r="C52" i="1" a="1"/>
  <c r="C52" i="1" s="1"/>
  <c r="C53" i="1" s="1" a="1"/>
  <c r="C53" i="1" s="1"/>
  <c r="C54" i="1" a="1"/>
  <c r="C54" i="1" s="1"/>
  <c r="C55" i="1" s="1" a="1"/>
  <c r="C55" i="1" s="1"/>
  <c r="C56" i="1" a="1"/>
  <c r="C56" i="1" s="1"/>
  <c r="C57" i="1" s="1" a="1"/>
  <c r="C57" i="1" s="1"/>
  <c r="C58" i="1" a="1"/>
  <c r="C58" i="1" s="1"/>
  <c r="C59" i="1" s="1" a="1"/>
  <c r="C59" i="1" s="1"/>
  <c r="C21" i="1" a="1"/>
  <c r="C21" i="1"/>
  <c r="C22" i="1" a="1"/>
  <c r="C22" i="1" s="1"/>
  <c r="C23" i="1" a="1"/>
  <c r="C23" i="1" s="1"/>
  <c r="C24" i="1" s="1" a="1"/>
  <c r="C24" i="1" s="1"/>
  <c r="C25" i="1" a="1"/>
  <c r="C25" i="1" s="1"/>
  <c r="C26" i="1" s="1" a="1"/>
  <c r="C26" i="1" s="1"/>
  <c r="C27" i="1" a="1"/>
  <c r="C27" i="1" s="1"/>
  <c r="C28" i="1" s="1" a="1"/>
  <c r="C28" i="1" s="1"/>
  <c r="C29" i="1" a="1"/>
  <c r="C29" i="1" s="1"/>
  <c r="C30" i="1" s="1" a="1"/>
  <c r="C30" i="1" s="1"/>
  <c r="C31" i="1" a="1"/>
  <c r="C31" i="1"/>
  <c r="C32" i="1" s="1" a="1"/>
  <c r="C32" i="1" s="1"/>
  <c r="C33" i="1" a="1"/>
  <c r="C33" i="1" s="1"/>
  <c r="C34" i="1" s="1" a="1"/>
  <c r="C34" i="1" s="1"/>
  <c r="C35" i="1" a="1"/>
  <c r="C35" i="1" s="1"/>
  <c r="C36" i="1" s="1" a="1"/>
  <c r="C36" i="1" s="1"/>
  <c r="C37" i="1" a="1"/>
  <c r="C37" i="1" s="1"/>
  <c r="C38" i="1" s="1" a="1"/>
  <c r="C38" i="1" s="1"/>
  <c r="C4" i="1" a="1"/>
  <c r="C4" i="1" s="1"/>
  <c r="C5" i="1" s="1" a="1"/>
  <c r="C5" i="1" s="1"/>
  <c r="C6" i="1" a="1"/>
  <c r="C6" i="1" s="1"/>
  <c r="C7" i="1" s="1" a="1"/>
  <c r="C7" i="1" s="1"/>
  <c r="C8" i="1" a="1"/>
  <c r="C8" i="1" s="1"/>
  <c r="C9" i="1" s="1" a="1"/>
  <c r="C9" i="1" s="1"/>
  <c r="C10" i="1" a="1"/>
  <c r="C10" i="1" s="1"/>
  <c r="C11" i="1" s="1" a="1"/>
  <c r="C11" i="1" s="1"/>
  <c r="C12" i="1" a="1"/>
  <c r="C12" i="1" s="1"/>
  <c r="C13" i="1" s="1" a="1"/>
  <c r="C13" i="1" s="1"/>
  <c r="C14" i="1" a="1"/>
  <c r="C14" i="1"/>
  <c r="C15" i="1" a="1"/>
  <c r="C15" i="1" s="1"/>
  <c r="C16" i="1" s="1" a="1"/>
  <c r="C16" i="1" s="1"/>
  <c r="C17" i="1" a="1"/>
  <c r="C17" i="1" s="1"/>
  <c r="C18" i="1" s="1" a="1"/>
  <c r="C18" i="1" s="1"/>
  <c r="C19" i="1" a="1"/>
  <c r="C19" i="1" s="1"/>
  <c r="C20" i="1" s="1" a="1"/>
  <c r="C20" i="1" s="1"/>
  <c r="C2" i="1" a="1"/>
  <c r="C2" i="1" s="1"/>
  <c r="C3" i="1" s="1" a="1"/>
  <c r="C3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<sst xmlns="http://schemas.openxmlformats.org/spreadsheetml/2006/main" count="46" uniqueCount="46">
  <si>
    <t>Bi 2014</t>
  </si>
  <si>
    <t>Bizino 2019</t>
  </si>
  <si>
    <t>Placebo</t>
  </si>
  <si>
    <t>Bolinder 2012</t>
  </si>
  <si>
    <t>Cusi 2019</t>
  </si>
  <si>
    <t>Eriksson 2018</t>
  </si>
  <si>
    <t>Gaborit 2021</t>
  </si>
  <si>
    <t>Guo 2020</t>
  </si>
  <si>
    <t>Glargine insulin</t>
  </si>
  <si>
    <t>Guzman 2017</t>
  </si>
  <si>
    <t>Harreiter 2021</t>
  </si>
  <si>
    <t>Hiruma 2023</t>
  </si>
  <si>
    <t>Jonker 2010</t>
  </si>
  <si>
    <t>Joy 2017</t>
  </si>
  <si>
    <t>Kahl 2020</t>
  </si>
  <si>
    <t>Kato 2015</t>
  </si>
  <si>
    <t>Liu 2020</t>
  </si>
  <si>
    <t>Macauley 2015</t>
  </si>
  <si>
    <t>Matikainen 2018</t>
  </si>
  <si>
    <t>Ridderstråle 2014</t>
  </si>
  <si>
    <t xml:space="preserve">Glimepiride </t>
  </si>
  <si>
    <t>Sathyanarayana 2011</t>
  </si>
  <si>
    <t>Smits 2016</t>
  </si>
  <si>
    <t>Tang 2015</t>
  </si>
  <si>
    <t>Van Eyk 2019</t>
  </si>
  <si>
    <t>Vanderheiden 2016</t>
  </si>
  <si>
    <t>Yan 2019</t>
  </si>
  <si>
    <t>Zhang 2020</t>
  </si>
  <si>
    <t>Kuchay 2020</t>
  </si>
  <si>
    <t>Kuchay 2018</t>
  </si>
  <si>
    <t>Elhini 2022</t>
  </si>
  <si>
    <t>Canagliflozin</t>
    <phoneticPr fontId="1" type="noConversion"/>
  </si>
  <si>
    <t>Dapagliflozin</t>
    <phoneticPr fontId="1" type="noConversion"/>
  </si>
  <si>
    <t>Dulaglutide</t>
    <phoneticPr fontId="1" type="noConversion"/>
  </si>
  <si>
    <t>Empagliflozin</t>
    <phoneticPr fontId="1" type="noConversion"/>
  </si>
  <si>
    <t>Exenatide</t>
    <phoneticPr fontId="1" type="noConversion"/>
  </si>
  <si>
    <t>Liraglutide</t>
    <phoneticPr fontId="1" type="noConversion"/>
  </si>
  <si>
    <t xml:space="preserve">Pioglitazone </t>
    <phoneticPr fontId="1" type="noConversion"/>
  </si>
  <si>
    <t>Sitagliptin</t>
    <phoneticPr fontId="1" type="noConversion"/>
  </si>
  <si>
    <t>Vildagliptin</t>
    <phoneticPr fontId="1" type="noConversion"/>
  </si>
  <si>
    <t>Metformin</t>
    <phoneticPr fontId="1" type="noConversion"/>
  </si>
  <si>
    <t>n</t>
    <phoneticPr fontId="1" type="noConversion"/>
  </si>
  <si>
    <t>t</t>
    <phoneticPr fontId="1" type="noConversion"/>
  </si>
  <si>
    <t>StudyID</t>
    <phoneticPr fontId="1" type="noConversion"/>
  </si>
  <si>
    <t>Year</t>
    <phoneticPr fontId="1" type="noConversion"/>
  </si>
  <si>
    <t>StudyName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</si>
</sst>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sz val="12"/>
      <color rgb="FF131413"/>
      <name val="Times New Roman"/>
      <family val="1"/>
    </font>
    <font>
      <sz val="12"/>
      <color rgb="FFFF0000"/>
      <name val="Calibri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EC9E-92B0-B547-9820-1CD1DE97C3D5}">
  <dimension ref="A1:P64"/>
  <sheetViews>
    <sheetView tabSelected="1" workbookViewId="0">
      <selection activeCell="G2" sqref="G2:H14"/>
    </sheetView>
  </sheetViews>
  <sheetFormatPr baseColWidth="10" defaultRowHeight="16"/>
  <cols>
    <col min="1" max="1" width="10.83203125" style="6"/>
    <col min="2" max="2" width="19.5" style="6" bestFit="1" customWidth="1"/>
    <col min="3" max="3" width="19.5" style="6" customWidth="1"/>
    <col min="4" max="4" width="16" style="6" customWidth="1"/>
    <col min="5" max="5" width="10.6640625" style="6" bestFit="1" customWidth="1"/>
    <col min="6" max="7" width="10.83203125" style="6"/>
    <col min="8" max="8" width="23.5" style="6" customWidth="1"/>
    <col min="9" max="9" width="23.6640625" style="6" bestFit="1" customWidth="1"/>
    <col min="10" max="11" width="10.83203125" style="6"/>
    <col min="12" max="12" width="22.33203125" style="6" customWidth="1"/>
    <col min="13" max="16384" width="10.83203125" style="6"/>
  </cols>
  <sheetData>
    <row r="1" spans="1:16" ht="16" customHeight="1">
      <c r="A1" s="6" t="s">
        <v>43</v>
      </c>
      <c r="B1" s="1" t="s">
        <v>45</v>
      </c>
      <c r="C1" s="1" t="s">
        <v>44</v>
      </c>
      <c r="D1" s="1" t="s">
        <v>42</v>
      </c>
      <c r="E1" s="1" t="s">
        <v>41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7">
      <c r="A2" s="6">
        <v>1</v>
      </c>
      <c r="B2" s="1" t="s">
        <v>0</v>
      </c>
      <c r="C2" s="1" cm="1">
        <f t="array" ref="C2">IF(B2="",C1,VALUE(MID(B2,MIN(FIND({0,1,2,3,4,5,6,7,8,9},B2&amp;"0123456789")),4)))</f>
        <v>2014</v>
      </c>
      <c r="D2" s="1">
        <v>5</v>
      </c>
      <c r="E2" s="1">
        <v>11</v>
      </c>
      <c r="F2" s="1"/>
      <c r="G2" s="1">
        <v>1</v>
      </c>
      <c r="H2" s="1" t="s">
        <v>31</v>
      </c>
      <c r="I2" s="1"/>
      <c r="J2" s="1"/>
      <c r="M2" s="1"/>
      <c r="N2" s="1"/>
      <c r="O2" s="1"/>
      <c r="P2" s="1"/>
    </row>
    <row r="3" spans="1:16" ht="17">
      <c r="A3" s="6">
        <f>IF(B3="",A2,A2+1)</f>
        <v>1</v>
      </c>
      <c r="B3" s="1"/>
      <c r="C3" s="1" cm="1">
        <f t="array" ref="C3">IF(B3="",C2,VALUE(MID(B3,MIN(FIND({0,1,2,3,4,5,6,7,8,9},B3&amp;"0123456789")),4)))</f>
        <v>2014</v>
      </c>
      <c r="D3" s="1">
        <v>10</v>
      </c>
      <c r="E3" s="1">
        <v>11</v>
      </c>
      <c r="F3" s="1"/>
      <c r="G3" s="1">
        <v>2</v>
      </c>
      <c r="H3" s="1" t="s">
        <v>32</v>
      </c>
      <c r="I3" s="1"/>
      <c r="J3" s="1"/>
      <c r="M3" s="1"/>
      <c r="N3" s="1"/>
      <c r="O3" s="1"/>
      <c r="P3" s="1"/>
    </row>
    <row r="4" spans="1:16" ht="17">
      <c r="A4" s="6">
        <f t="shared" ref="A4:A59" si="0">IF(B4="",A3,A3+1)</f>
        <v>2</v>
      </c>
      <c r="B4" s="1" t="s">
        <v>1</v>
      </c>
      <c r="C4" s="1" cm="1">
        <f t="array" ref="C4">IF(B4="",C3,VALUE(MID(B4,MIN(FIND({0,1,2,3,4,5,6,7,8,9},B4&amp;"0123456789")),4)))</f>
        <v>2019</v>
      </c>
      <c r="D4" s="1">
        <v>8</v>
      </c>
      <c r="E4" s="1">
        <v>23</v>
      </c>
      <c r="F4" s="1"/>
      <c r="G4" s="1">
        <v>3</v>
      </c>
      <c r="H4" s="5" t="s">
        <v>33</v>
      </c>
      <c r="I4" s="5"/>
      <c r="J4" s="1"/>
      <c r="M4" s="1"/>
      <c r="N4" s="1"/>
      <c r="O4" s="1"/>
      <c r="P4" s="1"/>
    </row>
    <row r="5" spans="1:16" ht="17">
      <c r="A5" s="6">
        <f t="shared" si="0"/>
        <v>2</v>
      </c>
      <c r="B5" s="1"/>
      <c r="C5" s="1" cm="1">
        <f t="array" ref="C5">IF(B5="",C4,VALUE(MID(B5,MIN(FIND({0,1,2,3,4,5,6,7,8,9},B5&amp;"0123456789")),4)))</f>
        <v>2019</v>
      </c>
      <c r="D5" s="1">
        <v>11</v>
      </c>
      <c r="E5" s="1">
        <v>26</v>
      </c>
      <c r="F5" s="1"/>
      <c r="G5" s="1">
        <v>4</v>
      </c>
      <c r="H5" s="1" t="s">
        <v>34</v>
      </c>
      <c r="I5" s="1"/>
      <c r="J5" s="1"/>
      <c r="M5" s="1"/>
      <c r="N5" s="1"/>
      <c r="O5" s="1"/>
      <c r="P5" s="1"/>
    </row>
    <row r="6" spans="1:16" ht="17">
      <c r="A6" s="6">
        <f t="shared" si="0"/>
        <v>3</v>
      </c>
      <c r="B6" s="1" t="s">
        <v>3</v>
      </c>
      <c r="C6" s="1" cm="1">
        <f t="array" ref="C6">IF(B6="",C5,VALUE(MID(B6,MIN(FIND({0,1,2,3,4,5,6,7,8,9},B6&amp;"0123456789")),4)))</f>
        <v>2012</v>
      </c>
      <c r="D6" s="1">
        <v>2</v>
      </c>
      <c r="E6" s="1">
        <v>38</v>
      </c>
      <c r="F6" s="1"/>
      <c r="G6" s="1">
        <v>5</v>
      </c>
      <c r="H6" s="1" t="s">
        <v>35</v>
      </c>
      <c r="I6" s="1"/>
      <c r="J6" s="1"/>
      <c r="M6" s="1"/>
      <c r="N6" s="1"/>
      <c r="O6" s="1"/>
      <c r="P6" s="1"/>
    </row>
    <row r="7" spans="1:16" ht="17">
      <c r="A7" s="6">
        <f t="shared" si="0"/>
        <v>3</v>
      </c>
      <c r="B7" s="1"/>
      <c r="C7" s="1" cm="1">
        <f t="array" ref="C7">IF(B7="",C6,VALUE(MID(B7,MIN(FIND({0,1,2,3,4,5,6,7,8,9},B7&amp;"0123456789")),4)))</f>
        <v>2012</v>
      </c>
      <c r="D7" s="1">
        <v>11</v>
      </c>
      <c r="E7" s="1">
        <v>42</v>
      </c>
      <c r="F7" s="1"/>
      <c r="G7" s="1">
        <v>6</v>
      </c>
      <c r="H7" s="1" t="s">
        <v>8</v>
      </c>
      <c r="I7" s="1"/>
      <c r="J7" s="1"/>
      <c r="M7" s="1"/>
      <c r="N7" s="1"/>
      <c r="O7" s="1"/>
      <c r="P7" s="1"/>
    </row>
    <row r="8" spans="1:16" ht="17">
      <c r="A8" s="6">
        <f t="shared" si="0"/>
        <v>4</v>
      </c>
      <c r="B8" s="1" t="s">
        <v>4</v>
      </c>
      <c r="C8" s="1" cm="1">
        <f t="array" ref="C8">IF(B8="",C7,VALUE(MID(B8,MIN(FIND({0,1,2,3,4,5,6,7,8,9},B8&amp;"0123456789")),4)))</f>
        <v>2019</v>
      </c>
      <c r="D8" s="1">
        <v>1</v>
      </c>
      <c r="E8" s="1">
        <v>26</v>
      </c>
      <c r="F8" s="1"/>
      <c r="G8" s="1">
        <v>7</v>
      </c>
      <c r="H8" s="1" t="s">
        <v>20</v>
      </c>
      <c r="I8" s="1"/>
      <c r="J8" s="1"/>
      <c r="M8" s="1"/>
      <c r="N8" s="1"/>
      <c r="O8" s="1"/>
      <c r="P8" s="1"/>
    </row>
    <row r="9" spans="1:16" ht="17">
      <c r="A9" s="6">
        <f t="shared" si="0"/>
        <v>4</v>
      </c>
      <c r="B9" s="1"/>
      <c r="C9" s="1" cm="1">
        <f t="array" ref="C9">IF(B9="",C8,VALUE(MID(B9,MIN(FIND({0,1,2,3,4,5,6,7,8,9},B9&amp;"0123456789")),4)))</f>
        <v>2019</v>
      </c>
      <c r="D9" s="1">
        <v>11</v>
      </c>
      <c r="E9" s="1">
        <v>30</v>
      </c>
      <c r="F9" s="1"/>
      <c r="G9" s="1">
        <v>8</v>
      </c>
      <c r="H9" s="1" t="s">
        <v>36</v>
      </c>
      <c r="I9" s="1"/>
      <c r="J9" s="1"/>
      <c r="M9" s="1"/>
      <c r="N9" s="1"/>
      <c r="O9" s="1"/>
      <c r="P9" s="1"/>
    </row>
    <row r="10" spans="1:16" ht="16" customHeight="1">
      <c r="A10" s="6">
        <f t="shared" si="0"/>
        <v>5</v>
      </c>
      <c r="B10" s="1" t="s">
        <v>5</v>
      </c>
      <c r="C10" s="1" cm="1">
        <f t="array" ref="C10">IF(B10="",C9,VALUE(MID(B10,MIN(FIND({0,1,2,3,4,5,6,7,8,9},B10&amp;"0123456789")),4)))</f>
        <v>2018</v>
      </c>
      <c r="D10" s="1">
        <v>2</v>
      </c>
      <c r="E10" s="1">
        <v>21</v>
      </c>
      <c r="F10" s="1"/>
      <c r="G10" s="1">
        <v>9</v>
      </c>
      <c r="H10" s="1" t="s">
        <v>40</v>
      </c>
      <c r="I10" s="1"/>
      <c r="J10" s="1"/>
      <c r="M10" s="1"/>
      <c r="N10" s="1"/>
      <c r="O10" s="1"/>
      <c r="P10" s="1"/>
    </row>
    <row r="11" spans="1:16" ht="17">
      <c r="A11" s="6">
        <f t="shared" si="0"/>
        <v>5</v>
      </c>
      <c r="B11" s="1"/>
      <c r="C11" s="1" cm="1">
        <f t="array" ref="C11">IF(B11="",C10,VALUE(MID(B11,MIN(FIND({0,1,2,3,4,5,6,7,8,9},B11&amp;"0123456789")),4)))</f>
        <v>2018</v>
      </c>
      <c r="D11" s="1">
        <v>11</v>
      </c>
      <c r="E11" s="1">
        <v>21</v>
      </c>
      <c r="F11" s="1"/>
      <c r="G11" s="1">
        <v>10</v>
      </c>
      <c r="H11" s="1" t="s">
        <v>37</v>
      </c>
      <c r="I11" s="1"/>
      <c r="J11" s="1"/>
      <c r="M11" s="1"/>
      <c r="N11" s="1"/>
      <c r="O11" s="1"/>
      <c r="P11" s="1"/>
    </row>
    <row r="12" spans="1:16" ht="17">
      <c r="A12" s="6">
        <f t="shared" si="0"/>
        <v>6</v>
      </c>
      <c r="B12" s="1" t="s">
        <v>6</v>
      </c>
      <c r="C12" s="1" cm="1">
        <f t="array" ref="C12">IF(B12="",C11,VALUE(MID(B12,MIN(FIND({0,1,2,3,4,5,6,7,8,9},B12&amp;"0123456789")),4)))</f>
        <v>2021</v>
      </c>
      <c r="D12" s="1">
        <v>4</v>
      </c>
      <c r="E12" s="1">
        <v>26</v>
      </c>
      <c r="F12" s="1"/>
      <c r="G12" s="1">
        <v>11</v>
      </c>
      <c r="H12" s="1" t="s">
        <v>2</v>
      </c>
      <c r="I12" s="1"/>
      <c r="J12" s="1"/>
      <c r="M12" s="1"/>
      <c r="N12" s="1"/>
      <c r="O12" s="1"/>
      <c r="P12" s="1"/>
    </row>
    <row r="13" spans="1:16" ht="17">
      <c r="A13" s="6">
        <f t="shared" si="0"/>
        <v>6</v>
      </c>
      <c r="B13" s="1"/>
      <c r="C13" s="1" cm="1">
        <f t="array" ref="C13">IF(B13="",C12,VALUE(MID(B13,MIN(FIND({0,1,2,3,4,5,6,7,8,9},B13&amp;"0123456789")),4)))</f>
        <v>2021</v>
      </c>
      <c r="D13" s="1">
        <v>11</v>
      </c>
      <c r="E13" s="1">
        <v>25</v>
      </c>
      <c r="F13" s="1"/>
      <c r="G13" s="1">
        <v>12</v>
      </c>
      <c r="H13" s="1" t="s">
        <v>38</v>
      </c>
      <c r="I13" s="1"/>
      <c r="J13" s="1"/>
      <c r="M13" s="1"/>
      <c r="N13" s="1"/>
      <c r="O13" s="1"/>
      <c r="P13" s="1"/>
    </row>
    <row r="14" spans="1:16" ht="16" customHeight="1">
      <c r="A14" s="6">
        <f t="shared" si="0"/>
        <v>7</v>
      </c>
      <c r="B14" s="1" t="s">
        <v>7</v>
      </c>
      <c r="C14" s="1" cm="1">
        <f t="array" ref="C14">IF(B14="",C13,VALUE(MID(B14,MIN(FIND({0,1,2,3,4,5,6,7,8,9},B14&amp;"0123456789")),4)))</f>
        <v>2020</v>
      </c>
      <c r="D14" s="1">
        <v>8</v>
      </c>
      <c r="E14" s="1">
        <v>32</v>
      </c>
      <c r="F14" s="1"/>
      <c r="G14" s="1">
        <v>13</v>
      </c>
      <c r="H14" s="1" t="s">
        <v>39</v>
      </c>
      <c r="I14" s="1"/>
      <c r="J14" s="1"/>
      <c r="M14" s="1"/>
      <c r="N14" s="1"/>
      <c r="O14" s="1"/>
      <c r="P14" s="1"/>
    </row>
    <row r="15" spans="1:16">
      <c r="A15" s="6">
        <f t="shared" si="0"/>
        <v>7</v>
      </c>
      <c r="B15" s="1"/>
      <c r="C15" s="1" cm="1">
        <f t="array" ref="C15">IF(B15="",C14,VALUE(MID(B15,MIN(FIND({0,1,2,3,4,5,6,7,8,9},B15&amp;"0123456789")),4)))</f>
        <v>2020</v>
      </c>
      <c r="D15" s="1">
        <v>6</v>
      </c>
      <c r="E15" s="1">
        <v>32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6">
        <f t="shared" si="0"/>
        <v>7</v>
      </c>
      <c r="B16" s="1"/>
      <c r="C16" s="1" cm="1">
        <f t="array" ref="C16">IF(B16="",C15,VALUE(MID(B16,MIN(FIND({0,1,2,3,4,5,6,7,8,9},B16&amp;"0123456789")),4)))</f>
        <v>2020</v>
      </c>
      <c r="D16" s="1">
        <v>11</v>
      </c>
      <c r="E16" s="1">
        <v>32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7">
      <c r="A17" s="6">
        <f t="shared" si="0"/>
        <v>8</v>
      </c>
      <c r="B17" s="1" t="s">
        <v>9</v>
      </c>
      <c r="C17" s="1" cm="1">
        <f t="array" ref="C17">IF(B17="",C16,VALUE(MID(B17,MIN(FIND({0,1,2,3,4,5,6,7,8,9},B17&amp;"0123456789")),4)))</f>
        <v>2017</v>
      </c>
      <c r="D17" s="1">
        <v>12</v>
      </c>
      <c r="E17" s="1">
        <v>41</v>
      </c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6">
        <f t="shared" si="0"/>
        <v>8</v>
      </c>
      <c r="B18" s="1"/>
      <c r="C18" s="1" cm="1">
        <f t="array" ref="C18">IF(B18="",C17,VALUE(MID(B18,MIN(FIND({0,1,2,3,4,5,6,7,8,9},B18&amp;"0123456789")),4)))</f>
        <v>2017</v>
      </c>
      <c r="D18" s="1">
        <v>11</v>
      </c>
      <c r="E18" s="1">
        <v>68</v>
      </c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7">
      <c r="A19" s="6">
        <f t="shared" si="0"/>
        <v>9</v>
      </c>
      <c r="B19" s="1" t="s">
        <v>10</v>
      </c>
      <c r="C19" s="1" cm="1">
        <f t="array" ref="C19">IF(B19="",C18,VALUE(MID(B19,MIN(FIND({0,1,2,3,4,5,6,7,8,9},B19&amp;"0123456789")),4)))</f>
        <v>2021</v>
      </c>
      <c r="D19" s="1">
        <v>5</v>
      </c>
      <c r="E19" s="1">
        <v>16</v>
      </c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6">
        <f t="shared" si="0"/>
        <v>9</v>
      </c>
      <c r="B20" s="1"/>
      <c r="C20" s="1" cm="1">
        <f t="array" ref="C20">IF(B20="",C19,VALUE(MID(B20,MIN(FIND({0,1,2,3,4,5,6,7,8,9},B20&amp;"0123456789")),4)))</f>
        <v>2021</v>
      </c>
      <c r="D20" s="1">
        <v>11</v>
      </c>
      <c r="E20" s="1">
        <v>14</v>
      </c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7">
      <c r="A21" s="6">
        <f t="shared" si="0"/>
        <v>10</v>
      </c>
      <c r="B21" s="1" t="s">
        <v>11</v>
      </c>
      <c r="C21" s="1" cm="1">
        <f t="array" ref="C21">IF(B21="",C20,VALUE(MID(B21,MIN(FIND({0,1,2,3,4,5,6,7,8,9},B21&amp;"0123456789")),4)))</f>
        <v>2023</v>
      </c>
      <c r="D21" s="1">
        <v>4</v>
      </c>
      <c r="E21" s="1">
        <v>23</v>
      </c>
      <c r="F21" s="1"/>
      <c r="G21" s="1"/>
      <c r="H21" s="4"/>
      <c r="I21" s="4"/>
      <c r="J21" s="1"/>
      <c r="K21" s="1"/>
      <c r="L21" s="2"/>
      <c r="M21" s="2"/>
      <c r="N21" s="2"/>
      <c r="O21" s="2"/>
      <c r="P21" s="2"/>
    </row>
    <row r="22" spans="1:16">
      <c r="A22" s="6">
        <f t="shared" si="0"/>
        <v>10</v>
      </c>
      <c r="B22" s="1"/>
      <c r="C22" s="1" cm="1">
        <f t="array" ref="C22">IF(B22="",C21,VALUE(MID(B22,MIN(FIND({0,1,2,3,4,5,6,7,8,9},B22&amp;"0123456789")),4)))</f>
        <v>2023</v>
      </c>
      <c r="D22" s="1">
        <v>12</v>
      </c>
      <c r="E22" s="1">
        <v>19</v>
      </c>
      <c r="F22" s="1"/>
      <c r="G22" s="1"/>
      <c r="H22" s="4"/>
      <c r="I22" s="4"/>
      <c r="J22" s="1"/>
      <c r="K22" s="1"/>
      <c r="L22" s="2"/>
      <c r="M22" s="2"/>
      <c r="N22" s="2"/>
      <c r="O22" s="2"/>
      <c r="P22" s="2"/>
    </row>
    <row r="23" spans="1:16" ht="27" customHeight="1">
      <c r="A23" s="6">
        <f t="shared" si="0"/>
        <v>11</v>
      </c>
      <c r="B23" s="1" t="s">
        <v>12</v>
      </c>
      <c r="C23" s="1" cm="1">
        <f t="array" ref="C23">IF(B23="",C22,VALUE(MID(B23,MIN(FIND({0,1,2,3,4,5,6,7,8,9},B23&amp;"0123456789")),4)))</f>
        <v>2010</v>
      </c>
      <c r="D23" s="1">
        <v>9</v>
      </c>
      <c r="E23" s="1">
        <v>39</v>
      </c>
      <c r="F23" s="1"/>
      <c r="G23" s="1"/>
      <c r="H23" s="4"/>
      <c r="I23" s="4"/>
      <c r="J23" s="2"/>
      <c r="K23" s="2"/>
      <c r="L23" s="2"/>
      <c r="M23" s="2"/>
      <c r="N23" s="2"/>
      <c r="O23" s="2"/>
      <c r="P23" s="2"/>
    </row>
    <row r="24" spans="1:16">
      <c r="A24" s="6">
        <f t="shared" si="0"/>
        <v>11</v>
      </c>
      <c r="B24" s="1"/>
      <c r="C24" s="1" cm="1">
        <f t="array" ref="C24">IF(B24="",C23,VALUE(MID(B24,MIN(FIND({0,1,2,3,4,5,6,7,8,9},B24&amp;"0123456789")),4)))</f>
        <v>2010</v>
      </c>
      <c r="D24" s="1">
        <v>10</v>
      </c>
      <c r="E24" s="1">
        <v>39</v>
      </c>
      <c r="F24" s="1"/>
      <c r="G24" s="1"/>
      <c r="H24" s="4"/>
      <c r="I24" s="4"/>
      <c r="J24" s="2"/>
      <c r="K24" s="2"/>
      <c r="L24" s="2"/>
      <c r="M24" s="2"/>
      <c r="N24" s="2"/>
      <c r="O24" s="2"/>
      <c r="P24" s="2"/>
    </row>
    <row r="25" spans="1:16" ht="17">
      <c r="A25" s="6">
        <f t="shared" si="0"/>
        <v>12</v>
      </c>
      <c r="B25" s="1" t="s">
        <v>13</v>
      </c>
      <c r="C25" s="1" cm="1">
        <f t="array" ref="C25">IF(B25="",C24,VALUE(MID(B25,MIN(FIND({0,1,2,3,4,5,6,7,8,9},B25&amp;"0123456789")),4)))</f>
        <v>2017</v>
      </c>
      <c r="D25" s="1">
        <v>12</v>
      </c>
      <c r="E25" s="1">
        <v>6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6">
        <f t="shared" si="0"/>
        <v>12</v>
      </c>
      <c r="B26" s="1"/>
      <c r="C26" s="1" cm="1">
        <f t="array" ref="C26">IF(B26="",C25,VALUE(MID(B26,MIN(FIND({0,1,2,3,4,5,6,7,8,9},B26&amp;"0123456789")),4)))</f>
        <v>2017</v>
      </c>
      <c r="D26" s="1">
        <v>11</v>
      </c>
      <c r="E26" s="1">
        <v>6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7">
      <c r="A27" s="6">
        <f t="shared" si="0"/>
        <v>13</v>
      </c>
      <c r="B27" s="1" t="s">
        <v>14</v>
      </c>
      <c r="C27" s="1" cm="1">
        <f t="array" ref="C27">IF(B27="",C26,VALUE(MID(B27,MIN(FIND({0,1,2,3,4,5,6,7,8,9},B27&amp;"0123456789")),4)))</f>
        <v>2020</v>
      </c>
      <c r="D27" s="1">
        <v>4</v>
      </c>
      <c r="E27" s="1">
        <v>42</v>
      </c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6">
        <f t="shared" si="0"/>
        <v>13</v>
      </c>
      <c r="B28" s="1"/>
      <c r="C28" s="1" cm="1">
        <f t="array" ref="C28">IF(B28="",C27,VALUE(MID(B28,MIN(FIND({0,1,2,3,4,5,6,7,8,9},B28&amp;"0123456789")),4)))</f>
        <v>2020</v>
      </c>
      <c r="D28" s="1">
        <v>11</v>
      </c>
      <c r="E28" s="1">
        <v>42</v>
      </c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27" customHeight="1">
      <c r="A29" s="6">
        <f t="shared" si="0"/>
        <v>14</v>
      </c>
      <c r="B29" s="1" t="s">
        <v>15</v>
      </c>
      <c r="C29" s="1" cm="1">
        <f t="array" ref="C29">IF(B29="",C28,VALUE(MID(B29,MIN(FIND({0,1,2,3,4,5,6,7,8,9},B29&amp;"0123456789")),4)))</f>
        <v>2015</v>
      </c>
      <c r="D29" s="1">
        <v>7</v>
      </c>
      <c r="E29" s="1">
        <v>10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6">
        <f t="shared" si="0"/>
        <v>14</v>
      </c>
      <c r="B30" s="1"/>
      <c r="C30" s="1" cm="1">
        <f t="array" ref="C30">IF(B30="",C29,VALUE(MID(B30,MIN(FIND({0,1,2,3,4,5,6,7,8,9},B30&amp;"0123456789")),4)))</f>
        <v>2015</v>
      </c>
      <c r="D30" s="1">
        <v>13</v>
      </c>
      <c r="E30" s="1">
        <v>10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7">
      <c r="A31" s="6">
        <f t="shared" si="0"/>
        <v>15</v>
      </c>
      <c r="B31" s="1" t="s">
        <v>16</v>
      </c>
      <c r="C31" s="1" cm="1">
        <f t="array" ref="C31">IF(B31="",C30,VALUE(MID(B31,MIN(FIND({0,1,2,3,4,5,6,7,8,9},B31&amp;"0123456789")),4)))</f>
        <v>2020</v>
      </c>
      <c r="D31" s="1">
        <v>5</v>
      </c>
      <c r="E31" s="1">
        <v>35</v>
      </c>
      <c r="F31" s="1"/>
      <c r="G31" s="1"/>
      <c r="H31" s="2"/>
      <c r="I31" s="2"/>
      <c r="J31" s="1"/>
      <c r="K31" s="1"/>
      <c r="L31" s="2"/>
      <c r="M31" s="2"/>
      <c r="N31" s="2"/>
      <c r="O31" s="2"/>
      <c r="P31" s="2"/>
    </row>
    <row r="32" spans="1:16">
      <c r="A32" s="6">
        <f t="shared" si="0"/>
        <v>15</v>
      </c>
      <c r="B32" s="1"/>
      <c r="C32" s="1" cm="1">
        <f t="array" ref="C32">IF(B32="",C31,VALUE(MID(B32,MIN(FIND({0,1,2,3,4,5,6,7,8,9},B32&amp;"0123456789")),4)))</f>
        <v>2020</v>
      </c>
      <c r="D32" s="1">
        <v>6</v>
      </c>
      <c r="E32" s="1">
        <v>36</v>
      </c>
      <c r="F32" s="1"/>
      <c r="G32" s="1"/>
      <c r="H32" s="2"/>
      <c r="I32" s="2"/>
      <c r="J32" s="1"/>
      <c r="K32" s="1"/>
      <c r="L32" s="2"/>
      <c r="M32" s="2"/>
      <c r="N32" s="2"/>
      <c r="O32" s="2"/>
      <c r="P32" s="2"/>
    </row>
    <row r="33" spans="1:16" ht="16" customHeight="1">
      <c r="A33" s="6">
        <f t="shared" si="0"/>
        <v>16</v>
      </c>
      <c r="B33" s="1" t="s">
        <v>17</v>
      </c>
      <c r="C33" s="1" cm="1">
        <f t="array" ref="C33">IF(B33="",C32,VALUE(MID(B33,MIN(FIND({0,1,2,3,4,5,6,7,8,9},B33&amp;"0123456789")),4)))</f>
        <v>2015</v>
      </c>
      <c r="D33" s="1">
        <v>13</v>
      </c>
      <c r="E33" s="1">
        <v>22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6">
        <f t="shared" si="0"/>
        <v>16</v>
      </c>
      <c r="B34" s="1"/>
      <c r="C34" s="1" cm="1">
        <f t="array" ref="C34">IF(B34="",C33,VALUE(MID(B34,MIN(FIND({0,1,2,3,4,5,6,7,8,9},B34&amp;"0123456789")),4)))</f>
        <v>2015</v>
      </c>
      <c r="D34" s="1">
        <v>11</v>
      </c>
      <c r="E34" s="1">
        <v>22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6" customHeight="1">
      <c r="A35" s="6">
        <f t="shared" si="0"/>
        <v>17</v>
      </c>
      <c r="B35" s="1" t="s">
        <v>18</v>
      </c>
      <c r="C35" s="1" cm="1">
        <f t="array" ref="C35">IF(B35="",C34,VALUE(MID(B35,MIN(FIND({0,1,2,3,4,5,6,7,8,9},B35&amp;"0123456789")),4)))</f>
        <v>2018</v>
      </c>
      <c r="D35" s="1">
        <v>8</v>
      </c>
      <c r="E35" s="1">
        <v>16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6" customHeight="1">
      <c r="A36" s="6">
        <f t="shared" si="0"/>
        <v>17</v>
      </c>
      <c r="B36" s="1"/>
      <c r="C36" s="1" cm="1">
        <f t="array" ref="C36">IF(B36="",C35,VALUE(MID(B36,MIN(FIND({0,1,2,3,4,5,6,7,8,9},B36&amp;"0123456789")),4)))</f>
        <v>2018</v>
      </c>
      <c r="D36" s="1">
        <v>11</v>
      </c>
      <c r="E36" s="1">
        <v>7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6" customHeight="1">
      <c r="A37" s="6">
        <f t="shared" si="0"/>
        <v>18</v>
      </c>
      <c r="B37" s="1" t="s">
        <v>19</v>
      </c>
      <c r="C37" s="1" cm="1">
        <f t="array" ref="C37">IF(B37="",C36,VALUE(MID(B37,MIN(FIND({0,1,2,3,4,5,6,7,8,9},B37&amp;"0123456789")),4)))</f>
        <v>2014</v>
      </c>
      <c r="D37" s="1">
        <v>4</v>
      </c>
      <c r="E37" s="1">
        <v>51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6" customHeight="1">
      <c r="A38" s="6">
        <f t="shared" si="0"/>
        <v>18</v>
      </c>
      <c r="B38" s="1"/>
      <c r="C38" s="1" cm="1">
        <f t="array" ref="C38">IF(B38="",C37,VALUE(MID(B38,MIN(FIND({0,1,2,3,4,5,6,7,8,9},B38&amp;"0123456789")),4)))</f>
        <v>2014</v>
      </c>
      <c r="D38" s="1">
        <v>7</v>
      </c>
      <c r="E38" s="1">
        <v>40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7">
      <c r="A39" s="6">
        <f t="shared" si="0"/>
        <v>19</v>
      </c>
      <c r="B39" s="1" t="s">
        <v>21</v>
      </c>
      <c r="C39" s="1" cm="1">
        <f t="array" ref="C39">IF(B39="",C38,VALUE(MID(B39,MIN(FIND({0,1,2,3,4,5,6,7,8,9},B39&amp;"0123456789")),4)))</f>
        <v>2011</v>
      </c>
      <c r="D39" s="1">
        <v>5</v>
      </c>
      <c r="E39" s="1">
        <v>11</v>
      </c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6" customHeight="1">
      <c r="A40" s="6">
        <f t="shared" si="0"/>
        <v>19</v>
      </c>
      <c r="B40" s="1"/>
      <c r="C40" s="1" cm="1">
        <f t="array" ref="C40">IF(B40="",C39,VALUE(MID(B40,MIN(FIND({0,1,2,3,4,5,6,7,8,9},B40&amp;"0123456789")),4)))</f>
        <v>2011</v>
      </c>
      <c r="D40" s="1">
        <v>11</v>
      </c>
      <c r="E40" s="1">
        <v>10</v>
      </c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7">
      <c r="A41" s="6">
        <f t="shared" si="0"/>
        <v>20</v>
      </c>
      <c r="B41" s="1" t="s">
        <v>22</v>
      </c>
      <c r="C41" s="1" cm="1">
        <f t="array" ref="C41">IF(B41="",C40,VALUE(MID(B41,MIN(FIND({0,1,2,3,4,5,6,7,8,9},B41&amp;"0123456789")),4)))</f>
        <v>2016</v>
      </c>
      <c r="D41" s="1">
        <v>8</v>
      </c>
      <c r="E41" s="1">
        <v>17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6" customHeight="1">
      <c r="A42" s="6">
        <f>IF(B42="",A41,A41+1)</f>
        <v>20</v>
      </c>
      <c r="B42" s="1"/>
      <c r="C42" s="1" cm="1">
        <f t="array" ref="C42">IF(B42="",C41,VALUE(MID(B42,MIN(FIND({0,1,2,3,4,5,6,7,8,9},B42&amp;"0123456789")),4)))</f>
        <v>2016</v>
      </c>
      <c r="D42" s="1">
        <v>12</v>
      </c>
      <c r="E42" s="1">
        <v>18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7">
      <c r="A43" s="6">
        <f t="shared" si="0"/>
        <v>21</v>
      </c>
      <c r="B43" s="1" t="s">
        <v>23</v>
      </c>
      <c r="C43" s="1" cm="1">
        <f t="array" ref="C43">IF(B43="",C42,VALUE(MID(B43,MIN(FIND({0,1,2,3,4,5,6,7,8,9},B43&amp;"0123456789")),4)))</f>
        <v>2015</v>
      </c>
      <c r="D43" s="2">
        <v>8</v>
      </c>
      <c r="E43" s="1">
        <v>18</v>
      </c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27" customHeight="1">
      <c r="A44" s="6">
        <f t="shared" si="0"/>
        <v>21</v>
      </c>
      <c r="B44" s="1"/>
      <c r="C44" s="1" cm="1">
        <f t="array" ref="C44">IF(B44="",C43,VALUE(MID(B44,MIN(FIND({0,1,2,3,4,5,6,7,8,9},B44&amp;"0123456789")),4)))</f>
        <v>2015</v>
      </c>
      <c r="D44" s="2">
        <v>6</v>
      </c>
      <c r="E44" s="1">
        <v>17</v>
      </c>
      <c r="F44" s="2"/>
      <c r="G44" s="1"/>
      <c r="H44" s="2"/>
      <c r="I44" s="2"/>
      <c r="J44" s="1"/>
      <c r="K44" s="1"/>
      <c r="L44" s="2"/>
      <c r="M44" s="2"/>
      <c r="N44" s="2"/>
      <c r="O44" s="2"/>
      <c r="P44" s="2"/>
    </row>
    <row r="45" spans="1:16" ht="17">
      <c r="A45" s="6">
        <f t="shared" si="0"/>
        <v>22</v>
      </c>
      <c r="B45" s="1" t="s">
        <v>24</v>
      </c>
      <c r="C45" s="1" cm="1">
        <f t="array" ref="C45">IF(B45="",C44,VALUE(MID(B45,MIN(FIND({0,1,2,3,4,5,6,7,8,9},B45&amp;"0123456789")),4)))</f>
        <v>2019</v>
      </c>
      <c r="D45" s="1">
        <v>8</v>
      </c>
      <c r="E45" s="1">
        <v>22</v>
      </c>
      <c r="F45" s="1"/>
      <c r="G45" s="1"/>
      <c r="H45" s="2"/>
      <c r="I45" s="2"/>
      <c r="J45" s="1"/>
      <c r="K45" s="1"/>
      <c r="L45" s="2"/>
      <c r="M45" s="2"/>
      <c r="N45" s="2"/>
      <c r="O45" s="2"/>
      <c r="P45" s="2"/>
    </row>
    <row r="46" spans="1:16" ht="16" customHeight="1">
      <c r="A46" s="6">
        <f t="shared" si="0"/>
        <v>22</v>
      </c>
      <c r="B46" s="1"/>
      <c r="C46" s="1" cm="1">
        <f t="array" ref="C46">IF(B46="",C45,VALUE(MID(B46,MIN(FIND({0,1,2,3,4,5,6,7,8,9},B46&amp;"0123456789")),4)))</f>
        <v>2019</v>
      </c>
      <c r="D46" s="1">
        <v>11</v>
      </c>
      <c r="E46" s="1">
        <v>25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6" customHeight="1">
      <c r="A47" s="6">
        <f t="shared" si="0"/>
        <v>23</v>
      </c>
      <c r="B47" s="1" t="s">
        <v>25</v>
      </c>
      <c r="C47" s="1" cm="1">
        <f t="array" ref="C47">IF(B47="",C46,VALUE(MID(B47,MIN(FIND({0,1,2,3,4,5,6,7,8,9},B47&amp;"0123456789")),4)))</f>
        <v>2016</v>
      </c>
      <c r="D47" s="1">
        <v>8</v>
      </c>
      <c r="E47" s="1">
        <v>35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6" customHeight="1">
      <c r="A48" s="6">
        <f t="shared" si="0"/>
        <v>23</v>
      </c>
      <c r="B48" s="1"/>
      <c r="C48" s="1" cm="1">
        <f t="array" ref="C48">IF(B48="",C47,VALUE(MID(B48,MIN(FIND({0,1,2,3,4,5,6,7,8,9},B48&amp;"0123456789")),4)))</f>
        <v>2016</v>
      </c>
      <c r="D48" s="1">
        <v>11</v>
      </c>
      <c r="E48" s="1">
        <v>36</v>
      </c>
      <c r="F48" s="1"/>
      <c r="G48" s="1"/>
      <c r="H48" s="2"/>
      <c r="I48" s="2"/>
      <c r="J48" s="1"/>
      <c r="K48" s="1"/>
      <c r="L48" s="2"/>
      <c r="M48" s="2"/>
      <c r="N48" s="2"/>
      <c r="O48" s="2"/>
      <c r="P48" s="2"/>
    </row>
    <row r="49" spans="1:16" ht="17">
      <c r="A49" s="6">
        <f t="shared" si="0"/>
        <v>24</v>
      </c>
      <c r="B49" s="1" t="s">
        <v>26</v>
      </c>
      <c r="C49" s="1" cm="1">
        <f t="array" ref="C49">IF(B49="",C48,VALUE(MID(B49,MIN(FIND({0,1,2,3,4,5,6,7,8,9},B49&amp;"0123456789")),4)))</f>
        <v>2019</v>
      </c>
      <c r="D49" s="1">
        <v>8</v>
      </c>
      <c r="E49" s="1">
        <v>24</v>
      </c>
      <c r="F49" s="1"/>
      <c r="G49" s="1"/>
      <c r="H49" s="2"/>
      <c r="I49" s="2"/>
      <c r="J49" s="1"/>
      <c r="K49" s="1"/>
      <c r="L49" s="2"/>
      <c r="M49" s="2"/>
      <c r="N49" s="2"/>
      <c r="O49" s="2"/>
      <c r="P49" s="2"/>
    </row>
    <row r="50" spans="1:16" ht="16" customHeight="1">
      <c r="A50" s="6">
        <f t="shared" si="0"/>
        <v>24</v>
      </c>
      <c r="B50" s="1"/>
      <c r="C50" s="1" cm="1">
        <f t="array" ref="C50">IF(B50="",C49,VALUE(MID(B50,MIN(FIND({0,1,2,3,4,5,6,7,8,9},B50&amp;"0123456789")),4)))</f>
        <v>2019</v>
      </c>
      <c r="D50" s="1">
        <v>6</v>
      </c>
      <c r="E50" s="1">
        <v>24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6">
        <f t="shared" si="0"/>
        <v>24</v>
      </c>
      <c r="B51" s="1"/>
      <c r="C51" s="1" cm="1">
        <f t="array" ref="C51">IF(B51="",C50,VALUE(MID(B51,MIN(FIND({0,1,2,3,4,5,6,7,8,9},B51&amp;"0123456789")),4)))</f>
        <v>2019</v>
      </c>
      <c r="D51" s="1">
        <v>12</v>
      </c>
      <c r="E51" s="1">
        <v>27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6" customHeight="1">
      <c r="A52" s="6">
        <f t="shared" si="0"/>
        <v>25</v>
      </c>
      <c r="B52" s="1" t="s">
        <v>27</v>
      </c>
      <c r="C52" s="1" cm="1">
        <f t="array" ref="C52">IF(B52="",C51,VALUE(MID(B52,MIN(FIND({0,1,2,3,4,5,6,7,8,9},B52&amp;"0123456789")),4)))</f>
        <v>2020</v>
      </c>
      <c r="D52" s="1">
        <v>8</v>
      </c>
      <c r="E52" s="1">
        <v>30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6">
        <f t="shared" si="0"/>
        <v>25</v>
      </c>
      <c r="B53" s="1"/>
      <c r="C53" s="1" cm="1">
        <f t="array" ref="C53">IF(B53="",C52,VALUE(MID(B53,MIN(FIND({0,1,2,3,4,5,6,7,8,9},B53&amp;"0123456789")),4)))</f>
        <v>2020</v>
      </c>
      <c r="D53" s="1">
        <v>10</v>
      </c>
      <c r="E53" s="1">
        <v>30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6" customHeight="1">
      <c r="A54" s="6">
        <f t="shared" si="0"/>
        <v>26</v>
      </c>
      <c r="B54" s="3" t="s">
        <v>28</v>
      </c>
      <c r="C54" s="1" cm="1">
        <f t="array" ref="C54">IF(B54="",C53,VALUE(MID(B54,MIN(FIND({0,1,2,3,4,5,6,7,8,9},B54&amp;"0123456789")),4)))</f>
        <v>2020</v>
      </c>
      <c r="D54" s="3">
        <v>3</v>
      </c>
      <c r="E54" s="1">
        <v>32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6" customHeight="1">
      <c r="A55" s="6">
        <f t="shared" si="0"/>
        <v>26</v>
      </c>
      <c r="B55" s="3"/>
      <c r="C55" s="1" cm="1">
        <f t="array" ref="C55">IF(B55="",C54,VALUE(MID(B55,MIN(FIND({0,1,2,3,4,5,6,7,8,9},B55&amp;"0123456789")),4)))</f>
        <v>2020</v>
      </c>
      <c r="D55" s="1">
        <v>11</v>
      </c>
      <c r="E55" s="1">
        <v>32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6" customHeight="1">
      <c r="A56" s="6">
        <f t="shared" si="0"/>
        <v>27</v>
      </c>
      <c r="B56" s="3" t="s">
        <v>29</v>
      </c>
      <c r="C56" s="1" cm="1">
        <f t="array" ref="C56">IF(B56="",C55,VALUE(MID(B56,MIN(FIND({0,1,2,3,4,5,6,7,8,9},B56&amp;"0123456789")),4)))</f>
        <v>2018</v>
      </c>
      <c r="D56" s="1">
        <v>4</v>
      </c>
      <c r="E56" s="1">
        <v>22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6" customHeight="1">
      <c r="A57" s="6">
        <f t="shared" si="0"/>
        <v>27</v>
      </c>
      <c r="B57" s="3"/>
      <c r="C57" s="1" cm="1">
        <f t="array" ref="C57">IF(B57="",C56,VALUE(MID(B57,MIN(FIND({0,1,2,3,4,5,6,7,8,9},B57&amp;"0123456789")),4)))</f>
        <v>2018</v>
      </c>
      <c r="D57" s="1">
        <v>11</v>
      </c>
      <c r="E57" s="1">
        <v>20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6" customHeight="1">
      <c r="A58" s="6">
        <f t="shared" si="0"/>
        <v>28</v>
      </c>
      <c r="B58" s="1" t="s">
        <v>30</v>
      </c>
      <c r="C58" s="1" cm="1">
        <f t="array" ref="C58">IF(B58="",C57,VALUE(MID(B58,MIN(FIND({0,1,2,3,4,5,6,7,8,9},B58&amp;"0123456789")),4)))</f>
        <v>2022</v>
      </c>
      <c r="D58" s="1">
        <v>4</v>
      </c>
      <c r="E58" s="1">
        <v>80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27" customHeight="1">
      <c r="A59" s="6">
        <f t="shared" si="0"/>
        <v>28</v>
      </c>
      <c r="B59" s="1"/>
      <c r="C59" s="1" cm="1">
        <f t="array" ref="C59">IF(B59="",C58,VALUE(MID(B59,MIN(FIND({0,1,2,3,4,5,6,7,8,9},B59&amp;"0123456789")),4)))</f>
        <v>2022</v>
      </c>
      <c r="D59" s="1">
        <v>11</v>
      </c>
      <c r="E59" s="1">
        <v>80</v>
      </c>
      <c r="F59" s="1"/>
      <c r="G59" s="1"/>
      <c r="H59" s="3"/>
      <c r="I59" s="3"/>
      <c r="J59" s="3"/>
      <c r="K59" s="3"/>
      <c r="L59" s="3"/>
      <c r="M59" s="3"/>
      <c r="N59" s="1"/>
      <c r="O59" s="1"/>
      <c r="P59" s="1"/>
    </row>
    <row r="60" spans="1:16">
      <c r="H60" s="3"/>
      <c r="I60" s="3"/>
      <c r="J60" s="3"/>
      <c r="K60" s="3"/>
      <c r="L60" s="3"/>
      <c r="M60" s="3"/>
      <c r="N60" s="1"/>
      <c r="O60" s="1"/>
      <c r="P60" s="1"/>
    </row>
    <row r="61" spans="1:16" ht="27" customHeight="1"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H64" s="1"/>
      <c r="I64" s="1"/>
      <c r="J64" s="1"/>
      <c r="K64" s="1"/>
      <c r="L64" s="1"/>
      <c r="M64" s="1"/>
      <c r="N64" s="1"/>
      <c r="O64" s="1"/>
      <c r="P6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Sheet1!_Hlk139111021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2026-02-23T22:06:15Z</dcterms:created>
  <dcterms:modified xsi:type="dcterms:W3CDTF">2026-02-23T22:28:46Z</dcterms:modified>
</cp:coreProperties>
</file>