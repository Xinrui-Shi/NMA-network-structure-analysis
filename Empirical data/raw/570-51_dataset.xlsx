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SD First Sample/Data/"/>
    </mc:Choice>
  </mc:AlternateContent>
  <xr:revisionPtr revIDLastSave="271" documentId="8_{F4C5EE26-0CB4-4AF7-9D1C-D6D3E9B87201}" xr6:coauthVersionLast="47" xr6:coauthVersionMax="47" xr10:uidLastSave="{4CBC7FF5-4182-4310-AE56-7B0A9A97E96E}"/>
  <bookViews>
    <workbookView xWindow="9435" yWindow="495" windowWidth="19170" windowHeight="14115" xr2:uid="{4D62BE27-05C2-48AA-9313-04A53D9C91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" i="1" l="1"/>
  <c r="B46" i="1"/>
  <c r="B44" i="1"/>
  <c r="B42" i="1"/>
  <c r="B40" i="1"/>
  <c r="B38" i="1"/>
  <c r="B36" i="1"/>
  <c r="B34" i="1"/>
  <c r="B32" i="1"/>
  <c r="B30" i="1"/>
  <c r="B28" i="1"/>
  <c r="B26" i="1"/>
  <c r="B24" i="1"/>
  <c r="B22" i="1"/>
  <c r="B20" i="1"/>
  <c r="B18" i="1"/>
  <c r="B16" i="1"/>
  <c r="B14" i="1"/>
  <c r="B12" i="1"/>
  <c r="B10" i="1"/>
  <c r="B8" i="1"/>
  <c r="B6" i="1"/>
  <c r="B4" i="1"/>
  <c r="B2" i="1"/>
</calcChain>
</file>

<file path=xl/sharedStrings.xml><?xml version="1.0" encoding="utf-8"?>
<sst xmlns="http://schemas.openxmlformats.org/spreadsheetml/2006/main" count="39" uniqueCount="39">
  <si>
    <t>StudyName</t>
  </si>
  <si>
    <t>StudyID</t>
  </si>
  <si>
    <t>t</t>
  </si>
  <si>
    <t>n</t>
  </si>
  <si>
    <t>r</t>
  </si>
  <si>
    <t>QR-CPM+WM</t>
  </si>
  <si>
    <t>WM</t>
  </si>
  <si>
    <t>BASR-CPM+WM</t>
  </si>
  <si>
    <t>QR&amp;BASR-CPM+WM</t>
  </si>
  <si>
    <t xml:space="preserve">BASR-CPM </t>
  </si>
  <si>
    <t>QR&amp;BASR-CPM</t>
  </si>
  <si>
    <t>HC-CPM</t>
  </si>
  <si>
    <t>KWYR-CPM+THSWT+WM</t>
  </si>
  <si>
    <t>treatments</t>
  </si>
  <si>
    <t>Zhou2018</t>
  </si>
  <si>
    <t xml:space="preserve">Wang2019 </t>
  </si>
  <si>
    <t>Xun2016</t>
  </si>
  <si>
    <t>Cui2016</t>
  </si>
  <si>
    <t>Zheng2019</t>
  </si>
  <si>
    <t>HanandSen2015</t>
  </si>
  <si>
    <t>Zhang2016</t>
  </si>
  <si>
    <t>Fan2020</t>
  </si>
  <si>
    <t>Li2014</t>
  </si>
  <si>
    <t>Yang2012</t>
  </si>
  <si>
    <t>WuandHu2019</t>
  </si>
  <si>
    <t>Wu2021</t>
  </si>
  <si>
    <t>Zou2019</t>
  </si>
  <si>
    <t>YangandLiu2020</t>
  </si>
  <si>
    <t>Xu2019</t>
  </si>
  <si>
    <t>Fan2017</t>
  </si>
  <si>
    <t>Zhang2017</t>
  </si>
  <si>
    <t>Zheng2013</t>
  </si>
  <si>
    <t>Peng2020</t>
  </si>
  <si>
    <t>Hu2021</t>
  </si>
  <si>
    <t>Meng2021</t>
  </si>
  <si>
    <t>Liu2014</t>
  </si>
  <si>
    <t>Xie2019</t>
  </si>
  <si>
    <t>Year</t>
  </si>
  <si>
    <t>Ji2021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</si>
</sst>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7135-96D0-4D43-B61F-3DD63F193000}">
  <dimension ref="A1:I49"/>
  <sheetViews>
    <sheetView tabSelected="1" zoomScale="90" zoomScaleNormal="90" workbookViewId="0">
      <selection activeCell="I2" sqref="I2"/>
    </sheetView>
  </sheetViews>
  <sheetFormatPr defaultRowHeight="15" x14ac:dyDescent="0.25"/>
  <sheetData>
    <row r="1" spans="1:9" x14ac:dyDescent="0.25">
      <c r="A1" s="1" t="s">
        <v>0</v>
      </c>
      <c r="B1" s="1" t="s">
        <v>37</v>
      </c>
      <c r="C1" s="1" t="s">
        <v>1</v>
      </c>
      <c r="D1" s="2" t="s">
        <v>2</v>
      </c>
      <c r="E1" s="2" t="s">
        <v>3</v>
      </c>
      <c r="F1" s="2" t="s">
        <v>4</v>
      </c>
      <c r="H1" s="2" t="s">
        <v>13</v>
      </c>
    </row>
    <row r="2" spans="1:9" ht="16.5" x14ac:dyDescent="0.25">
      <c r="A2" t="s">
        <v>14</v>
      </c>
      <c r="B2" s="3" t="str">
        <f>RIGHT(A2,4)</f>
        <v>2018</v>
      </c>
      <c r="C2">
        <v>1</v>
      </c>
      <c r="D2">
        <v>1</v>
      </c>
      <c r="E2">
        <v>66</v>
      </c>
      <c r="H2">
        <v>1</v>
      </c>
      <c r="I2" t="s">
        <v>5</v>
      </c>
    </row>
    <row r="3" spans="1:9" x14ac:dyDescent="0.25">
      <c r="C3">
        <v>1</v>
      </c>
      <c r="D3">
        <v>2</v>
      </c>
      <c r="E3">
        <v>66</v>
      </c>
      <c r="H3">
        <v>2</v>
      </c>
      <c r="I3" t="s">
        <v>6</v>
      </c>
    </row>
    <row r="4" spans="1:9" ht="16.5" x14ac:dyDescent="0.25">
      <c r="A4" t="s">
        <v>15</v>
      </c>
      <c r="B4" s="3" t="str">
        <f>RIGHT(A4,4)</f>
        <v xml:space="preserve">019 </v>
      </c>
      <c r="C4">
        <v>2</v>
      </c>
      <c r="D4">
        <v>3</v>
      </c>
      <c r="E4">
        <v>80</v>
      </c>
      <c r="H4">
        <v>3</v>
      </c>
      <c r="I4" t="s">
        <v>8</v>
      </c>
    </row>
    <row r="5" spans="1:9" x14ac:dyDescent="0.25">
      <c r="C5">
        <v>2</v>
      </c>
      <c r="D5">
        <v>2</v>
      </c>
      <c r="E5">
        <v>80</v>
      </c>
      <c r="H5">
        <v>4</v>
      </c>
      <c r="I5" t="s">
        <v>7</v>
      </c>
    </row>
    <row r="6" spans="1:9" ht="16.5" x14ac:dyDescent="0.25">
      <c r="A6" t="s">
        <v>16</v>
      </c>
      <c r="B6" s="3" t="str">
        <f>RIGHT(A6,4)</f>
        <v>2016</v>
      </c>
      <c r="C6">
        <v>3</v>
      </c>
      <c r="D6">
        <v>3</v>
      </c>
      <c r="E6">
        <v>50</v>
      </c>
      <c r="H6">
        <v>5</v>
      </c>
      <c r="I6" t="s">
        <v>9</v>
      </c>
    </row>
    <row r="7" spans="1:9" x14ac:dyDescent="0.25">
      <c r="C7">
        <v>3</v>
      </c>
      <c r="D7">
        <v>2</v>
      </c>
      <c r="E7">
        <v>50</v>
      </c>
      <c r="H7">
        <v>6</v>
      </c>
      <c r="I7" t="s">
        <v>10</v>
      </c>
    </row>
    <row r="8" spans="1:9" ht="16.5" x14ac:dyDescent="0.25">
      <c r="A8" t="s">
        <v>17</v>
      </c>
      <c r="B8" s="3" t="str">
        <f>RIGHT(A8,4)</f>
        <v>2016</v>
      </c>
      <c r="C8">
        <v>4</v>
      </c>
      <c r="D8">
        <v>4</v>
      </c>
      <c r="E8">
        <v>50</v>
      </c>
      <c r="H8">
        <v>7</v>
      </c>
      <c r="I8" t="s">
        <v>11</v>
      </c>
    </row>
    <row r="9" spans="1:9" x14ac:dyDescent="0.25">
      <c r="C9">
        <v>4</v>
      </c>
      <c r="D9">
        <v>2</v>
      </c>
      <c r="E9">
        <v>50</v>
      </c>
      <c r="H9">
        <v>8</v>
      </c>
      <c r="I9" t="s">
        <v>12</v>
      </c>
    </row>
    <row r="10" spans="1:9" ht="16.5" x14ac:dyDescent="0.25">
      <c r="A10" t="s">
        <v>18</v>
      </c>
      <c r="B10" s="3" t="str">
        <f>RIGHT(A10,4)</f>
        <v>2019</v>
      </c>
      <c r="C10">
        <v>5</v>
      </c>
      <c r="D10">
        <v>3</v>
      </c>
      <c r="E10">
        <v>25</v>
      </c>
    </row>
    <row r="11" spans="1:9" x14ac:dyDescent="0.25">
      <c r="C11">
        <v>5</v>
      </c>
      <c r="D11">
        <v>2</v>
      </c>
      <c r="E11">
        <v>25</v>
      </c>
    </row>
    <row r="12" spans="1:9" ht="16.5" x14ac:dyDescent="0.25">
      <c r="A12" t="s">
        <v>19</v>
      </c>
      <c r="B12" s="3" t="str">
        <f>RIGHT(A12,4)</f>
        <v>2015</v>
      </c>
      <c r="C12">
        <v>6</v>
      </c>
      <c r="D12">
        <v>1</v>
      </c>
      <c r="E12">
        <v>40</v>
      </c>
    </row>
    <row r="13" spans="1:9" x14ac:dyDescent="0.25">
      <c r="C13">
        <v>6</v>
      </c>
      <c r="D13">
        <v>2</v>
      </c>
      <c r="E13">
        <v>40</v>
      </c>
    </row>
    <row r="14" spans="1:9" ht="16.5" x14ac:dyDescent="0.25">
      <c r="A14" t="s">
        <v>20</v>
      </c>
      <c r="B14" s="3" t="str">
        <f>RIGHT(A14,4)</f>
        <v>2016</v>
      </c>
      <c r="C14">
        <v>7</v>
      </c>
      <c r="D14">
        <v>3</v>
      </c>
      <c r="E14">
        <v>40</v>
      </c>
    </row>
    <row r="15" spans="1:9" x14ac:dyDescent="0.25">
      <c r="C15">
        <v>7</v>
      </c>
      <c r="D15">
        <v>2</v>
      </c>
      <c r="E15">
        <v>40</v>
      </c>
    </row>
    <row r="16" spans="1:9" ht="16.5" x14ac:dyDescent="0.25">
      <c r="A16" t="s">
        <v>21</v>
      </c>
      <c r="B16" s="3" t="str">
        <f>RIGHT(A16,4)</f>
        <v>2020</v>
      </c>
      <c r="C16">
        <v>8</v>
      </c>
      <c r="D16">
        <v>5</v>
      </c>
      <c r="E16">
        <v>64</v>
      </c>
    </row>
    <row r="17" spans="1:5" x14ac:dyDescent="0.25">
      <c r="C17">
        <v>8</v>
      </c>
      <c r="D17">
        <v>2</v>
      </c>
      <c r="E17">
        <v>64</v>
      </c>
    </row>
    <row r="18" spans="1:5" ht="16.5" x14ac:dyDescent="0.25">
      <c r="A18" t="s">
        <v>22</v>
      </c>
      <c r="B18" s="3" t="str">
        <f>RIGHT(A18,4)</f>
        <v>2014</v>
      </c>
      <c r="C18">
        <v>9</v>
      </c>
      <c r="D18">
        <v>6</v>
      </c>
      <c r="E18">
        <v>46</v>
      </c>
    </row>
    <row r="19" spans="1:5" x14ac:dyDescent="0.25">
      <c r="C19">
        <v>9</v>
      </c>
      <c r="D19">
        <v>2</v>
      </c>
      <c r="E19">
        <v>44</v>
      </c>
    </row>
    <row r="20" spans="1:5" ht="16.5" x14ac:dyDescent="0.25">
      <c r="A20" t="s">
        <v>23</v>
      </c>
      <c r="B20" s="3" t="str">
        <f>RIGHT(A20,4)</f>
        <v>2012</v>
      </c>
      <c r="C20">
        <v>10</v>
      </c>
      <c r="D20">
        <v>3</v>
      </c>
      <c r="E20">
        <v>30</v>
      </c>
    </row>
    <row r="21" spans="1:5" x14ac:dyDescent="0.25">
      <c r="C21">
        <v>10</v>
      </c>
      <c r="D21">
        <v>2</v>
      </c>
      <c r="E21">
        <v>29</v>
      </c>
    </row>
    <row r="22" spans="1:5" ht="16.5" x14ac:dyDescent="0.25">
      <c r="A22" t="s">
        <v>24</v>
      </c>
      <c r="B22" s="3" t="str">
        <f>RIGHT(A22,4)</f>
        <v>2019</v>
      </c>
      <c r="C22">
        <v>11</v>
      </c>
      <c r="D22">
        <v>6</v>
      </c>
      <c r="E22">
        <v>86</v>
      </c>
    </row>
    <row r="23" spans="1:5" x14ac:dyDescent="0.25">
      <c r="C23">
        <v>11</v>
      </c>
      <c r="D23">
        <v>2</v>
      </c>
      <c r="E23">
        <v>86</v>
      </c>
    </row>
    <row r="24" spans="1:5" ht="16.5" x14ac:dyDescent="0.25">
      <c r="A24" t="s">
        <v>25</v>
      </c>
      <c r="B24" s="3" t="str">
        <f>RIGHT(A24,4)</f>
        <v>2021</v>
      </c>
      <c r="C24">
        <v>12</v>
      </c>
      <c r="D24">
        <v>6</v>
      </c>
      <c r="E24">
        <v>65</v>
      </c>
    </row>
    <row r="25" spans="1:5" x14ac:dyDescent="0.25">
      <c r="C25">
        <v>12</v>
      </c>
      <c r="D25">
        <v>2</v>
      </c>
      <c r="E25">
        <v>66</v>
      </c>
    </row>
    <row r="26" spans="1:5" ht="16.5" x14ac:dyDescent="0.25">
      <c r="A26" t="s">
        <v>26</v>
      </c>
      <c r="B26" s="3" t="str">
        <f>RIGHT(A26,4)</f>
        <v>2019</v>
      </c>
      <c r="C26">
        <v>13</v>
      </c>
      <c r="D26">
        <v>3</v>
      </c>
      <c r="E26">
        <v>71</v>
      </c>
    </row>
    <row r="27" spans="1:5" x14ac:dyDescent="0.25">
      <c r="C27">
        <v>13</v>
      </c>
      <c r="D27">
        <v>2</v>
      </c>
      <c r="E27">
        <v>71</v>
      </c>
    </row>
    <row r="28" spans="1:5" ht="16.5" x14ac:dyDescent="0.25">
      <c r="A28" t="s">
        <v>27</v>
      </c>
      <c r="B28" s="3" t="str">
        <f>RIGHT(A28,4)</f>
        <v>2020</v>
      </c>
      <c r="C28">
        <v>14</v>
      </c>
      <c r="D28">
        <v>7</v>
      </c>
      <c r="E28">
        <v>43</v>
      </c>
    </row>
    <row r="29" spans="1:5" x14ac:dyDescent="0.25">
      <c r="C29">
        <v>14</v>
      </c>
      <c r="D29">
        <v>2</v>
      </c>
      <c r="E29">
        <v>43</v>
      </c>
    </row>
    <row r="30" spans="1:5" ht="16.5" x14ac:dyDescent="0.25">
      <c r="A30" t="s">
        <v>28</v>
      </c>
      <c r="B30" s="3" t="str">
        <f>RIGHT(A30,4)</f>
        <v>2019</v>
      </c>
      <c r="C30">
        <v>15</v>
      </c>
      <c r="D30">
        <v>4</v>
      </c>
      <c r="E30">
        <v>40</v>
      </c>
    </row>
    <row r="31" spans="1:5" x14ac:dyDescent="0.25">
      <c r="C31">
        <v>15</v>
      </c>
      <c r="D31">
        <v>2</v>
      </c>
      <c r="E31">
        <v>40</v>
      </c>
    </row>
    <row r="32" spans="1:5" ht="16.5" x14ac:dyDescent="0.25">
      <c r="A32" t="s">
        <v>29</v>
      </c>
      <c r="B32" s="3" t="str">
        <f>RIGHT(A32,4)</f>
        <v>2017</v>
      </c>
      <c r="C32">
        <v>16</v>
      </c>
      <c r="D32">
        <v>1</v>
      </c>
      <c r="E32">
        <v>40</v>
      </c>
    </row>
    <row r="33" spans="1:5" x14ac:dyDescent="0.25">
      <c r="C33">
        <v>16</v>
      </c>
      <c r="D33">
        <v>2</v>
      </c>
      <c r="E33">
        <v>40</v>
      </c>
    </row>
    <row r="34" spans="1:5" ht="16.5" x14ac:dyDescent="0.25">
      <c r="A34" t="s">
        <v>30</v>
      </c>
      <c r="B34" s="3" t="str">
        <f>RIGHT(A34,4)</f>
        <v>2017</v>
      </c>
      <c r="C34">
        <v>17</v>
      </c>
      <c r="D34">
        <v>1</v>
      </c>
      <c r="E34">
        <v>30</v>
      </c>
    </row>
    <row r="35" spans="1:5" x14ac:dyDescent="0.25">
      <c r="C35">
        <v>17</v>
      </c>
      <c r="D35">
        <v>2</v>
      </c>
      <c r="E35">
        <v>30</v>
      </c>
    </row>
    <row r="36" spans="1:5" ht="16.5" x14ac:dyDescent="0.25">
      <c r="A36" t="s">
        <v>31</v>
      </c>
      <c r="B36" s="3" t="str">
        <f>RIGHT(A36,4)</f>
        <v>2013</v>
      </c>
      <c r="C36">
        <v>18</v>
      </c>
      <c r="D36">
        <v>1</v>
      </c>
      <c r="E36">
        <v>31</v>
      </c>
    </row>
    <row r="37" spans="1:5" x14ac:dyDescent="0.25">
      <c r="C37">
        <v>18</v>
      </c>
      <c r="D37">
        <v>2</v>
      </c>
      <c r="E37">
        <v>30</v>
      </c>
    </row>
    <row r="38" spans="1:5" ht="16.5" x14ac:dyDescent="0.25">
      <c r="A38" t="s">
        <v>32</v>
      </c>
      <c r="B38" s="3" t="str">
        <f>RIGHT(A38,4)</f>
        <v>2020</v>
      </c>
      <c r="C38">
        <v>19</v>
      </c>
      <c r="D38">
        <v>1</v>
      </c>
      <c r="E38">
        <v>30</v>
      </c>
    </row>
    <row r="39" spans="1:5" x14ac:dyDescent="0.25">
      <c r="C39">
        <v>19</v>
      </c>
      <c r="D39">
        <v>2</v>
      </c>
      <c r="E39">
        <v>30</v>
      </c>
    </row>
    <row r="40" spans="1:5" ht="16.5" x14ac:dyDescent="0.25">
      <c r="A40" t="s">
        <v>33</v>
      </c>
      <c r="B40" s="3" t="str">
        <f>RIGHT(A40,4)</f>
        <v>2021</v>
      </c>
      <c r="C40">
        <v>20</v>
      </c>
      <c r="D40">
        <v>8</v>
      </c>
      <c r="E40">
        <v>36</v>
      </c>
    </row>
    <row r="41" spans="1:5" x14ac:dyDescent="0.25">
      <c r="C41">
        <v>20</v>
      </c>
      <c r="D41">
        <v>2</v>
      </c>
      <c r="E41">
        <v>36</v>
      </c>
    </row>
    <row r="42" spans="1:5" ht="16.5" x14ac:dyDescent="0.25">
      <c r="A42" t="s">
        <v>34</v>
      </c>
      <c r="B42" s="3" t="str">
        <f>RIGHT(A42,4)</f>
        <v>2021</v>
      </c>
      <c r="C42">
        <v>21</v>
      </c>
      <c r="D42">
        <v>4</v>
      </c>
      <c r="E42">
        <v>34</v>
      </c>
    </row>
    <row r="43" spans="1:5" x14ac:dyDescent="0.25">
      <c r="C43">
        <v>21</v>
      </c>
      <c r="D43">
        <v>2</v>
      </c>
      <c r="E43">
        <v>34</v>
      </c>
    </row>
    <row r="44" spans="1:5" ht="16.5" x14ac:dyDescent="0.25">
      <c r="A44" t="s">
        <v>38</v>
      </c>
      <c r="B44" s="3" t="str">
        <f>RIGHT(A44,4)</f>
        <v>2021</v>
      </c>
      <c r="C44">
        <v>22</v>
      </c>
      <c r="D44">
        <v>1</v>
      </c>
      <c r="E44">
        <v>63</v>
      </c>
    </row>
    <row r="45" spans="1:5" x14ac:dyDescent="0.25">
      <c r="C45">
        <v>22</v>
      </c>
      <c r="D45">
        <v>2</v>
      </c>
      <c r="E45">
        <v>63</v>
      </c>
    </row>
    <row r="46" spans="1:5" ht="16.5" x14ac:dyDescent="0.25">
      <c r="A46" t="s">
        <v>35</v>
      </c>
      <c r="B46" s="3" t="str">
        <f>RIGHT(A46,4)</f>
        <v>2014</v>
      </c>
      <c r="C46">
        <v>23</v>
      </c>
      <c r="D46">
        <v>3</v>
      </c>
      <c r="E46">
        <v>50</v>
      </c>
    </row>
    <row r="47" spans="1:5" x14ac:dyDescent="0.25">
      <c r="C47">
        <v>23</v>
      </c>
      <c r="D47">
        <v>1</v>
      </c>
      <c r="E47">
        <v>50</v>
      </c>
    </row>
    <row r="48" spans="1:5" ht="16.5" x14ac:dyDescent="0.25">
      <c r="A48" t="s">
        <v>36</v>
      </c>
      <c r="B48" s="3" t="str">
        <f>RIGHT(A48,4)</f>
        <v>2019</v>
      </c>
      <c r="C48">
        <v>24</v>
      </c>
      <c r="D48">
        <v>1</v>
      </c>
      <c r="E48">
        <v>40</v>
      </c>
    </row>
    <row r="49" spans="3:5" x14ac:dyDescent="0.25">
      <c r="C49">
        <v>24</v>
      </c>
      <c r="D49">
        <v>2</v>
      </c>
      <c r="E49">
        <v>40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701785-DEAF-4334-939B-6127D9F00EE9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F89B1C02-DCFD-40AE-99AC-C952E116AD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88EB89-9274-4865-B1B2-0B94D68AD1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Davies</dc:creator>
  <cp:lastModifiedBy>Monika Halicka</cp:lastModifiedBy>
  <dcterms:created xsi:type="dcterms:W3CDTF">2025-02-05T19:31:56Z</dcterms:created>
  <dcterms:modified xsi:type="dcterms:W3CDTF">2025-12-15T11:18:52Z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