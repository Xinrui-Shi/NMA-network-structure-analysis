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3369CFFC-F8E6-5C47-9B21-F9013FBDB5DD}" xr6:coauthVersionLast="47" xr6:coauthVersionMax="47" xr10:uidLastSave="{00000000-0000-0000-0000-000000000000}"/>
  <bookViews>
    <workbookView xWindow="0" yWindow="740" windowWidth="30240" windowHeight="18900" xr2:uid="{3C8604EF-95AE-0C44-9C41-15B2F130CA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1" l="1"/>
  <c r="A73" i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4" i="1"/>
  <c r="A5" i="1"/>
  <c r="A6" i="1"/>
  <c r="A7" i="1"/>
  <c r="A8" i="1"/>
  <c r="A9" i="1"/>
  <c r="A10" i="1"/>
  <c r="A11" i="1"/>
  <c r="A12" i="1"/>
  <c r="A13" i="1"/>
  <c r="A14" i="1" s="1"/>
  <c r="A15" i="1" s="1"/>
  <c r="A16" i="1" s="1"/>
  <c r="A17" i="1" s="1"/>
  <c r="A18" i="1" s="1"/>
  <c r="A19" i="1" s="1"/>
  <c r="A20" i="1" s="1"/>
  <c r="A3" i="1"/>
</calcChain>
</file>

<file path=xl/sharedStrings.xml><?xml version="1.0" encoding="utf-8"?>
<sst xmlns="http://schemas.openxmlformats.org/spreadsheetml/2006/main" count="194" uniqueCount="101">
  <si>
    <t>Regular postoperative analgesia</t>
  </si>
  <si>
    <t>Management of postoperative breakthrough pain</t>
  </si>
  <si>
    <t>Not specified</t>
  </si>
  <si>
    <t>P.O. paracetamol and dextropropoxyphene</t>
  </si>
  <si>
    <t>I.V. morphine PCA</t>
  </si>
  <si>
    <t>P.O. paracetamol 1 g at 6, 12, and 18 h in only some groups.</t>
  </si>
  <si>
    <t>P.O. tramadol</t>
  </si>
  <si>
    <t>I.V. papaveretum PCA</t>
  </si>
  <si>
    <t>Opioid, otherwise not specified</t>
  </si>
  <si>
    <t>I.M. pethidine</t>
  </si>
  <si>
    <t>P.O. paracetamol and dextropropoxyphene, and I.M. or I.V. morphine</t>
  </si>
  <si>
    <t>None</t>
  </si>
  <si>
    <t>I.V. pethidine or morphine PCA depending on group allocation</t>
  </si>
  <si>
    <t>I.V. morphine at a rate of 1.5 mg/h</t>
  </si>
  <si>
    <t>I.V. pethidine or morphine PCA</t>
  </si>
  <si>
    <t>I.V. pethidine PCA</t>
  </si>
  <si>
    <t>I.V. ketobemidone PCA</t>
  </si>
  <si>
    <t>I.V. ketobemidone</t>
  </si>
  <si>
    <t>I.V. propacetamol 2 g every 8 h in the first 24 h in only some groups.</t>
  </si>
  <si>
    <t>I.V. morphine</t>
  </si>
  <si>
    <t>P.O. paracetamol 1 g every 6 h</t>
  </si>
  <si>
    <t>I.M. tramadol 100 mg as stat only in only some groups</t>
  </si>
  <si>
    <t>I.M. morphine 10 mg as stat dose.</t>
  </si>
  <si>
    <t>P.R. paracetamol 1 g.</t>
  </si>
  <si>
    <t>I.M. tramadol</t>
  </si>
  <si>
    <t>I.V. tramadol</t>
  </si>
  <si>
    <t>I.M. pentazocine 1 mg/kg every 6 h for 48 h</t>
  </si>
  <si>
    <t>I.M. pentazocine 30 mg every 6 h for 24 h</t>
  </si>
  <si>
    <t>I.M. pentazocine 30 mg every 4 h for 24 h</t>
  </si>
  <si>
    <t>I.M. pentazocine</t>
  </si>
  <si>
    <t>I.M. diclofenac</t>
  </si>
  <si>
    <t>I.M. oxycodone</t>
  </si>
  <si>
    <t>I.M. ketoprofen</t>
  </si>
  <si>
    <t>P.O. paracetamol and codeine, and parenteral opioids</t>
  </si>
  <si>
    <t>I.V. pethidine</t>
  </si>
  <si>
    <t>Patient-controlled epidural analgesia with bolus of pethidine 24 mg and lockout interval of 15 min</t>
  </si>
  <si>
    <t>P.O. paracetamol and codeine</t>
  </si>
  <si>
    <t>I.V. hydromorphone, pethidine, or morphine PCA</t>
  </si>
  <si>
    <t>I.V. paracetamol</t>
  </si>
  <si>
    <t>Paracetamol and codeine of unspecified route</t>
  </si>
  <si>
    <t>I.M. nalbuphine</t>
  </si>
  <si>
    <t>I.V. morphine 0.1 mg/kg bolus followed by infusion of 0.015 mg/kg/h</t>
  </si>
  <si>
    <t>Celecoxib</t>
  </si>
  <si>
    <t>Diclofenac</t>
  </si>
  <si>
    <t>Indomethacin</t>
  </si>
  <si>
    <t>Ketorolac</t>
  </si>
  <si>
    <t>Parecoxib</t>
  </si>
  <si>
    <t>Tenoxicam</t>
  </si>
  <si>
    <t>Control</t>
    <phoneticPr fontId="3" type="noConversion"/>
  </si>
  <si>
    <t>t</t>
    <phoneticPr fontId="3" type="noConversion"/>
  </si>
  <si>
    <t>n</t>
    <phoneticPr fontId="3" type="noConversion"/>
  </si>
  <si>
    <t> Lee et al. 2004</t>
  </si>
  <si>
    <t> Fong et al. 2008</t>
  </si>
  <si>
    <t> Paech et al. 2014</t>
  </si>
  <si>
    <t> Bush et al. 1992</t>
  </si>
  <si>
    <t> Sun et al. 1992</t>
  </si>
  <si>
    <t> Sun et al. 1993</t>
  </si>
  <si>
    <t> Luthman et al. 1994</t>
  </si>
  <si>
    <t> Dennis et al. 1995</t>
  </si>
  <si>
    <t> Lee et al. 1997</t>
  </si>
  <si>
    <t> Sia et al. 1997</t>
  </si>
  <si>
    <t> Kim et al. 1999</t>
  </si>
  <si>
    <t> Lee et al. 1999</t>
  </si>
  <si>
    <t> Olofsson et al. 2000</t>
  </si>
  <si>
    <t> Rashid et al. 2000</t>
  </si>
  <si>
    <t> Al-Waili et al. 2001</t>
  </si>
  <si>
    <t> Siddik et al. 2001</t>
  </si>
  <si>
    <t> Dahl et al. 2002</t>
  </si>
  <si>
    <t> Wilder-Smith et al. 2003</t>
  </si>
  <si>
    <t> Bourlert et al. 2005</t>
  </si>
  <si>
    <t> Munishankar et al. 2008</t>
  </si>
  <si>
    <t> Surakarn et al. 2009</t>
  </si>
  <si>
    <t> Thiengthong et al. 2012</t>
  </si>
  <si>
    <t> Adamou et al. 2014</t>
  </si>
  <si>
    <t> Lotfalizade et al. 2015</t>
  </si>
  <si>
    <t> Olateju et al. 2016</t>
  </si>
  <si>
    <t> Egede et al. 2017</t>
  </si>
  <si>
    <t> Kanta et al. 2021</t>
  </si>
  <si>
    <t> Akhavanakbari et al. 2013</t>
  </si>
  <si>
    <t> Rorarius et al. 1993</t>
  </si>
  <si>
    <t> Pagnoni et al. 1996</t>
  </si>
  <si>
    <t> Pavy et al. 1995</t>
  </si>
  <si>
    <t> Tzeng et al. 1994</t>
  </si>
  <si>
    <t> Cohen et al. 1996</t>
  </si>
  <si>
    <t> Pavy et al. 2001</t>
  </si>
  <si>
    <t> Lowder et al. 2003</t>
  </si>
  <si>
    <t> El-Tahan et al. 2007</t>
  </si>
  <si>
    <t> Khezri et al. 2018</t>
  </si>
  <si>
    <t> Inthigood et al. 2017</t>
  </si>
  <si>
    <t> Belzarena 1994</t>
  </si>
  <si>
    <t> Elhakim and Nafie 1995</t>
  </si>
  <si>
    <t> Ro et al. 1997</t>
  </si>
  <si>
    <t> Huang et al. 2002</t>
  </si>
  <si>
    <t> Hsu et al. 2003</t>
  </si>
  <si>
    <t> Yeh et al. 2005</t>
  </si>
  <si>
    <t> Wong et al. 2010</t>
  </si>
  <si>
    <t> Akhavanakbari et al. 2014</t>
  </si>
  <si>
    <t>StudyName</t>
    <phoneticPr fontId="3" type="noConversion"/>
  </si>
  <si>
    <t>Year</t>
    <phoneticPr fontId="3" type="noConversion"/>
  </si>
  <si>
    <r>
      <rPr>
        <sz val="12"/>
        <color theme="1"/>
        <rFont val="Times New Roman"/>
        <family val="2"/>
        <charset val="134"/>
      </rPr>
      <t> </t>
    </r>
    <r>
      <rPr>
        <sz val="12"/>
        <color theme="1"/>
        <rFont val="等线"/>
        <family val="2"/>
        <charset val="134"/>
        <scheme val="minor"/>
      </rPr>
      <t>Lee et al. 2004</t>
    </r>
    <phoneticPr fontId="3" type="noConversion"/>
  </si>
  <si>
    <t>StudyID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</si>
</sst>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9"/>
      <name val="等线"/>
      <family val="2"/>
      <charset val="134"/>
      <scheme val="minor"/>
    </font>
    <font>
      <sz val="12"/>
      <color theme="1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NumberFormat="1" applyFont="1">
      <alignment vertical="center"/>
    </xf>
    <xf numFmtId="0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A607-93AF-5E47-9709-1380811A3EF0}">
  <dimension ref="A1:M92"/>
  <sheetViews>
    <sheetView tabSelected="1" workbookViewId="0">
      <selection activeCell="C84" sqref="C84"/>
    </sheetView>
  </sheetViews>
  <sheetFormatPr baseColWidth="10" defaultRowHeight="16"/>
  <cols>
    <col min="2" max="2" width="25.5" customWidth="1"/>
    <col min="3" max="3" width="8.5" customWidth="1"/>
    <col min="4" max="4" width="5.83203125" customWidth="1"/>
    <col min="5" max="5" width="6.83203125" customWidth="1"/>
    <col min="6" max="6" width="27" customWidth="1"/>
    <col min="7" max="7" width="37.6640625" bestFit="1" customWidth="1"/>
    <col min="8" max="8" width="68.33203125" bestFit="1" customWidth="1"/>
    <col min="9" max="9" width="31.83203125" bestFit="1" customWidth="1"/>
    <col min="10" max="10" width="152.1640625" bestFit="1" customWidth="1"/>
    <col min="11" max="11" width="255.83203125" bestFit="1" customWidth="1"/>
    <col min="12" max="12" width="96.83203125" bestFit="1" customWidth="1"/>
    <col min="13" max="13" width="69.5" bestFit="1" customWidth="1"/>
  </cols>
  <sheetData>
    <row r="1" spans="1:13">
      <c r="A1" t="s">
        <v>100</v>
      </c>
      <c r="B1" s="1" t="s">
        <v>97</v>
      </c>
      <c r="C1" s="1" t="s">
        <v>98</v>
      </c>
      <c r="D1" s="1" t="s">
        <v>49</v>
      </c>
      <c r="E1" s="1" t="s">
        <v>50</v>
      </c>
      <c r="F1" s="1"/>
      <c r="G1" s="1"/>
      <c r="H1" s="1"/>
      <c r="I1" s="1"/>
      <c r="J1" s="1"/>
      <c r="K1" s="1"/>
      <c r="L1" s="1" t="s">
        <v>0</v>
      </c>
      <c r="M1" s="1" t="s">
        <v>1</v>
      </c>
    </row>
    <row r="2" spans="1:13">
      <c r="A2">
        <v>1</v>
      </c>
      <c r="B2" s="3" t="s">
        <v>99</v>
      </c>
      <c r="C2" s="5">
        <v>2004</v>
      </c>
      <c r="D2" s="2">
        <v>1</v>
      </c>
      <c r="E2" s="4">
        <v>30</v>
      </c>
      <c r="F2" s="2">
        <v>1</v>
      </c>
      <c r="G2" s="2" t="s">
        <v>48</v>
      </c>
      <c r="H2" s="2"/>
      <c r="I2" s="2"/>
      <c r="J2" s="2"/>
      <c r="K2" s="2"/>
      <c r="L2" s="2" t="s">
        <v>2</v>
      </c>
      <c r="M2" s="2" t="s">
        <v>3</v>
      </c>
    </row>
    <row r="3" spans="1:13">
      <c r="A3">
        <f>IF(B3=B2,A2,A2+1)</f>
        <v>1</v>
      </c>
      <c r="B3" s="3" t="s">
        <v>51</v>
      </c>
      <c r="C3" s="5">
        <v>2004</v>
      </c>
      <c r="D3" s="2">
        <v>2</v>
      </c>
      <c r="E3" s="4">
        <v>30</v>
      </c>
      <c r="F3">
        <v>2</v>
      </c>
      <c r="G3" t="s">
        <v>42</v>
      </c>
    </row>
    <row r="4" spans="1:13">
      <c r="A4">
        <f t="shared" ref="A4:A67" si="0">IF(B4=B3,A3,A3+1)</f>
        <v>2</v>
      </c>
      <c r="B4" s="3" t="s">
        <v>52</v>
      </c>
      <c r="C4" s="5">
        <v>2008</v>
      </c>
      <c r="D4" s="2">
        <v>1</v>
      </c>
      <c r="E4" s="4">
        <v>20</v>
      </c>
      <c r="F4" s="2">
        <v>3</v>
      </c>
      <c r="G4" s="2" t="s">
        <v>43</v>
      </c>
      <c r="H4" s="2"/>
      <c r="I4" s="2"/>
      <c r="J4" s="2"/>
      <c r="K4" s="2"/>
      <c r="L4" s="2" t="s">
        <v>4</v>
      </c>
      <c r="M4" s="2" t="s">
        <v>2</v>
      </c>
    </row>
    <row r="5" spans="1:13">
      <c r="A5">
        <f t="shared" si="0"/>
        <v>2</v>
      </c>
      <c r="B5" s="3" t="s">
        <v>52</v>
      </c>
      <c r="C5" s="5">
        <v>2008</v>
      </c>
      <c r="D5" s="2">
        <v>2</v>
      </c>
      <c r="E5" s="4">
        <v>40</v>
      </c>
      <c r="F5">
        <v>4</v>
      </c>
      <c r="G5" t="s">
        <v>44</v>
      </c>
    </row>
    <row r="6" spans="1:13">
      <c r="A6">
        <f t="shared" si="0"/>
        <v>3</v>
      </c>
      <c r="B6" s="3" t="s">
        <v>53</v>
      </c>
      <c r="C6" s="5">
        <v>2014</v>
      </c>
      <c r="D6" s="2">
        <v>1</v>
      </c>
      <c r="E6" s="4">
        <v>55</v>
      </c>
      <c r="F6" s="2">
        <v>5</v>
      </c>
      <c r="G6" s="2" t="s">
        <v>45</v>
      </c>
      <c r="H6" s="2"/>
      <c r="I6" s="2"/>
      <c r="J6" s="2"/>
      <c r="K6" s="2"/>
      <c r="L6" s="2" t="s">
        <v>5</v>
      </c>
      <c r="M6" s="2" t="s">
        <v>6</v>
      </c>
    </row>
    <row r="7" spans="1:13">
      <c r="A7">
        <f t="shared" si="0"/>
        <v>3</v>
      </c>
      <c r="B7" s="3" t="s">
        <v>53</v>
      </c>
      <c r="C7" s="5">
        <v>2014</v>
      </c>
      <c r="D7" s="2">
        <v>2</v>
      </c>
      <c r="E7" s="4">
        <v>56</v>
      </c>
      <c r="F7" s="2">
        <v>6</v>
      </c>
      <c r="G7" s="2" t="s">
        <v>46</v>
      </c>
    </row>
    <row r="8" spans="1:13">
      <c r="A8">
        <f t="shared" si="0"/>
        <v>4</v>
      </c>
      <c r="B8" s="3" t="s">
        <v>54</v>
      </c>
      <c r="C8" s="5">
        <v>1992</v>
      </c>
      <c r="D8" s="2">
        <v>1</v>
      </c>
      <c r="E8" s="4">
        <v>25</v>
      </c>
      <c r="F8">
        <v>7</v>
      </c>
      <c r="G8" t="s">
        <v>47</v>
      </c>
      <c r="H8" s="2"/>
      <c r="I8" s="2"/>
      <c r="J8" s="2"/>
      <c r="K8" s="2"/>
      <c r="L8" s="2" t="s">
        <v>7</v>
      </c>
      <c r="M8" s="2" t="s">
        <v>8</v>
      </c>
    </row>
    <row r="9" spans="1:13">
      <c r="A9">
        <f t="shared" si="0"/>
        <v>4</v>
      </c>
      <c r="B9" s="3" t="s">
        <v>54</v>
      </c>
      <c r="C9" s="5">
        <v>1992</v>
      </c>
      <c r="D9" s="2">
        <v>3</v>
      </c>
      <c r="E9" s="4">
        <v>23</v>
      </c>
      <c r="F9" s="2"/>
      <c r="G9" s="2"/>
    </row>
    <row r="10" spans="1:13">
      <c r="A10">
        <f t="shared" si="0"/>
        <v>5</v>
      </c>
      <c r="B10" s="3" t="s">
        <v>55</v>
      </c>
      <c r="C10" s="5">
        <v>1992</v>
      </c>
      <c r="D10" s="2">
        <v>1</v>
      </c>
      <c r="E10" s="4">
        <v>58</v>
      </c>
      <c r="H10" s="2"/>
      <c r="I10" s="2"/>
      <c r="J10" s="2"/>
      <c r="K10" s="2"/>
      <c r="L10" s="2" t="s">
        <v>2</v>
      </c>
      <c r="M10" s="2" t="s">
        <v>9</v>
      </c>
    </row>
    <row r="11" spans="1:13">
      <c r="A11">
        <f t="shared" si="0"/>
        <v>5</v>
      </c>
      <c r="B11" s="3" t="s">
        <v>55</v>
      </c>
      <c r="C11" s="5">
        <v>1992</v>
      </c>
      <c r="D11" s="2">
        <v>3</v>
      </c>
      <c r="E11" s="4">
        <v>59</v>
      </c>
      <c r="F11" s="2"/>
      <c r="G11" s="2"/>
    </row>
    <row r="12" spans="1:13">
      <c r="A12">
        <f t="shared" si="0"/>
        <v>6</v>
      </c>
      <c r="B12" s="3" t="s">
        <v>56</v>
      </c>
      <c r="C12" s="5">
        <v>1993</v>
      </c>
      <c r="D12" s="2">
        <v>1</v>
      </c>
      <c r="E12" s="4">
        <v>20</v>
      </c>
      <c r="H12" s="2"/>
      <c r="I12" s="2"/>
      <c r="J12" s="2"/>
      <c r="K12" s="2"/>
      <c r="L12" s="2" t="s">
        <v>2</v>
      </c>
      <c r="M12" s="2" t="s">
        <v>9</v>
      </c>
    </row>
    <row r="13" spans="1:13">
      <c r="A13">
        <f t="shared" si="0"/>
        <v>6</v>
      </c>
      <c r="B13" s="3" t="s">
        <v>56</v>
      </c>
      <c r="C13" s="5">
        <v>1993</v>
      </c>
      <c r="D13" s="2">
        <v>3</v>
      </c>
      <c r="E13" s="4">
        <v>20</v>
      </c>
      <c r="F13" s="2"/>
      <c r="G13" s="2"/>
    </row>
    <row r="14" spans="1:13">
      <c r="A14">
        <f t="shared" si="0"/>
        <v>7</v>
      </c>
      <c r="B14" s="3" t="s">
        <v>57</v>
      </c>
      <c r="C14" s="5">
        <v>1994</v>
      </c>
      <c r="D14" s="2">
        <v>1</v>
      </c>
      <c r="E14" s="4">
        <v>23</v>
      </c>
      <c r="H14" s="2"/>
      <c r="I14" s="2"/>
      <c r="J14" s="2"/>
      <c r="K14" s="2"/>
      <c r="L14" s="2" t="s">
        <v>4</v>
      </c>
      <c r="M14" s="2" t="s">
        <v>2</v>
      </c>
    </row>
    <row r="15" spans="1:13">
      <c r="A15">
        <f t="shared" si="0"/>
        <v>7</v>
      </c>
      <c r="B15" s="3" t="s">
        <v>57</v>
      </c>
      <c r="C15" s="5">
        <v>1994</v>
      </c>
      <c r="D15" s="2">
        <v>3</v>
      </c>
      <c r="E15" s="4">
        <v>27</v>
      </c>
      <c r="F15" s="2"/>
      <c r="G15" s="2"/>
    </row>
    <row r="16" spans="1:13">
      <c r="A16">
        <f t="shared" si="0"/>
        <v>8</v>
      </c>
      <c r="B16" s="3" t="s">
        <v>58</v>
      </c>
      <c r="C16" s="5">
        <v>1995</v>
      </c>
      <c r="D16" s="2">
        <v>1</v>
      </c>
      <c r="E16" s="4">
        <v>25</v>
      </c>
      <c r="H16" s="2"/>
      <c r="I16" s="2"/>
      <c r="J16" s="2"/>
      <c r="K16" s="2"/>
      <c r="L16" s="2" t="s">
        <v>2</v>
      </c>
      <c r="M16" s="2" t="s">
        <v>10</v>
      </c>
    </row>
    <row r="17" spans="1:13">
      <c r="A17">
        <f t="shared" si="0"/>
        <v>8</v>
      </c>
      <c r="B17" s="3" t="s">
        <v>58</v>
      </c>
      <c r="C17" s="5">
        <v>1995</v>
      </c>
      <c r="D17" s="2">
        <v>3</v>
      </c>
      <c r="E17" s="4">
        <v>25</v>
      </c>
      <c r="F17" s="2"/>
      <c r="G17" s="2"/>
    </row>
    <row r="18" spans="1:13">
      <c r="A18">
        <f t="shared" si="0"/>
        <v>9</v>
      </c>
      <c r="B18" s="3" t="s">
        <v>59</v>
      </c>
      <c r="C18" s="5">
        <v>1997</v>
      </c>
      <c r="D18" s="2">
        <v>1</v>
      </c>
      <c r="E18" s="4">
        <v>90</v>
      </c>
      <c r="H18" s="2"/>
      <c r="I18" s="2"/>
      <c r="J18" s="2"/>
      <c r="K18" s="2"/>
      <c r="L18" s="2" t="s">
        <v>12</v>
      </c>
      <c r="M18" s="2" t="s">
        <v>2</v>
      </c>
    </row>
    <row r="19" spans="1:13">
      <c r="A19">
        <f t="shared" si="0"/>
        <v>9</v>
      </c>
      <c r="B19" s="3" t="s">
        <v>59</v>
      </c>
      <c r="C19" s="5">
        <v>1997</v>
      </c>
      <c r="D19" s="2">
        <v>3</v>
      </c>
      <c r="E19" s="4">
        <v>90</v>
      </c>
      <c r="F19" s="2"/>
      <c r="G19" s="2"/>
    </row>
    <row r="20" spans="1:13">
      <c r="A20">
        <f t="shared" si="0"/>
        <v>10</v>
      </c>
      <c r="B20" s="3" t="s">
        <v>60</v>
      </c>
      <c r="C20" s="5">
        <v>1997</v>
      </c>
      <c r="D20" s="2">
        <v>1</v>
      </c>
      <c r="E20" s="4">
        <v>30</v>
      </c>
      <c r="H20" s="2"/>
      <c r="I20" s="2"/>
      <c r="J20" s="2"/>
      <c r="K20" s="2"/>
      <c r="L20" s="2" t="s">
        <v>13</v>
      </c>
      <c r="M20" s="2" t="s">
        <v>9</v>
      </c>
    </row>
    <row r="21" spans="1:13">
      <c r="A21">
        <f t="shared" si="0"/>
        <v>10</v>
      </c>
      <c r="B21" s="3" t="s">
        <v>60</v>
      </c>
      <c r="C21" s="5">
        <v>1997</v>
      </c>
      <c r="D21" s="2">
        <v>3</v>
      </c>
      <c r="E21" s="4">
        <v>30</v>
      </c>
      <c r="F21" s="2"/>
      <c r="G21" s="2"/>
    </row>
    <row r="22" spans="1:13">
      <c r="A22">
        <f t="shared" si="0"/>
        <v>11</v>
      </c>
      <c r="B22" s="3" t="s">
        <v>61</v>
      </c>
      <c r="C22" s="5">
        <v>1999</v>
      </c>
      <c r="D22" s="2">
        <v>1</v>
      </c>
      <c r="E22" s="4">
        <v>40</v>
      </c>
      <c r="H22" s="2"/>
      <c r="I22" s="2"/>
      <c r="J22" s="2"/>
      <c r="K22" s="2"/>
      <c r="L22" s="2" t="s">
        <v>14</v>
      </c>
      <c r="M22" s="2" t="s">
        <v>2</v>
      </c>
    </row>
    <row r="23" spans="1:13">
      <c r="A23">
        <f t="shared" si="0"/>
        <v>11</v>
      </c>
      <c r="B23" s="3" t="s">
        <v>61</v>
      </c>
      <c r="C23" s="5">
        <v>1999</v>
      </c>
      <c r="D23" s="2">
        <v>3</v>
      </c>
      <c r="E23" s="4">
        <v>40</v>
      </c>
      <c r="F23" s="2"/>
      <c r="G23" s="2"/>
    </row>
    <row r="24" spans="1:13">
      <c r="A24">
        <f t="shared" si="0"/>
        <v>12</v>
      </c>
      <c r="B24" s="3" t="s">
        <v>62</v>
      </c>
      <c r="C24" s="5">
        <v>1999</v>
      </c>
      <c r="D24" s="2">
        <v>1</v>
      </c>
      <c r="E24" s="4">
        <v>30</v>
      </c>
      <c r="H24" s="2"/>
      <c r="I24" s="2"/>
      <c r="J24" s="2"/>
      <c r="K24" s="2"/>
      <c r="L24" s="2" t="s">
        <v>15</v>
      </c>
      <c r="M24" s="2" t="s">
        <v>2</v>
      </c>
    </row>
    <row r="25" spans="1:13">
      <c r="A25">
        <f t="shared" si="0"/>
        <v>12</v>
      </c>
      <c r="B25" s="3" t="s">
        <v>62</v>
      </c>
      <c r="C25" s="5">
        <v>1999</v>
      </c>
      <c r="D25" s="2">
        <v>3</v>
      </c>
      <c r="E25" s="4">
        <v>30</v>
      </c>
      <c r="F25" s="2"/>
      <c r="G25" s="2"/>
    </row>
    <row r="26" spans="1:13">
      <c r="A26">
        <f t="shared" si="0"/>
        <v>13</v>
      </c>
      <c r="B26" s="3" t="s">
        <v>63</v>
      </c>
      <c r="C26" s="5">
        <v>2000</v>
      </c>
      <c r="D26" s="2">
        <v>1</v>
      </c>
      <c r="E26" s="4">
        <v>25</v>
      </c>
      <c r="H26" s="2"/>
      <c r="I26" s="2"/>
      <c r="J26" s="2"/>
      <c r="K26" s="2"/>
      <c r="L26" s="2" t="s">
        <v>16</v>
      </c>
      <c r="M26" s="2" t="s">
        <v>17</v>
      </c>
    </row>
    <row r="27" spans="1:13">
      <c r="A27">
        <f t="shared" si="0"/>
        <v>13</v>
      </c>
      <c r="B27" s="3" t="s">
        <v>63</v>
      </c>
      <c r="C27" s="5">
        <v>2000</v>
      </c>
      <c r="D27" s="2">
        <v>3</v>
      </c>
      <c r="E27" s="4">
        <v>25</v>
      </c>
      <c r="F27" s="2"/>
      <c r="G27" s="2"/>
    </row>
    <row r="28" spans="1:13">
      <c r="A28">
        <f t="shared" si="0"/>
        <v>14</v>
      </c>
      <c r="B28" s="3" t="s">
        <v>64</v>
      </c>
      <c r="C28" s="5">
        <v>2000</v>
      </c>
      <c r="D28" s="2">
        <v>1</v>
      </c>
      <c r="E28" s="4">
        <v>20</v>
      </c>
      <c r="F28" s="2"/>
      <c r="H28" s="2"/>
      <c r="I28" s="2"/>
      <c r="J28" s="2"/>
      <c r="K28" s="2"/>
      <c r="L28" s="2" t="s">
        <v>2</v>
      </c>
      <c r="M28" s="2" t="s">
        <v>9</v>
      </c>
    </row>
    <row r="29" spans="1:13">
      <c r="A29">
        <f t="shared" si="0"/>
        <v>14</v>
      </c>
      <c r="B29" s="3" t="s">
        <v>64</v>
      </c>
      <c r="C29" s="5">
        <v>2000</v>
      </c>
      <c r="D29" s="2">
        <v>3</v>
      </c>
      <c r="E29" s="4">
        <v>20</v>
      </c>
      <c r="F29" s="2"/>
      <c r="G29" s="2"/>
    </row>
    <row r="30" spans="1:13">
      <c r="A30">
        <f t="shared" si="0"/>
        <v>15</v>
      </c>
      <c r="B30" s="3" t="s">
        <v>65</v>
      </c>
      <c r="C30" s="5">
        <v>2001</v>
      </c>
      <c r="D30" s="2">
        <v>1</v>
      </c>
      <c r="E30" s="4">
        <v>60</v>
      </c>
      <c r="H30" s="2"/>
      <c r="I30" s="2"/>
      <c r="J30" s="2"/>
      <c r="K30" s="2"/>
      <c r="L30" s="2" t="s">
        <v>2</v>
      </c>
      <c r="M30" s="2" t="s">
        <v>9</v>
      </c>
    </row>
    <row r="31" spans="1:13">
      <c r="A31">
        <f t="shared" si="0"/>
        <v>15</v>
      </c>
      <c r="B31" s="3" t="s">
        <v>65</v>
      </c>
      <c r="C31" s="5">
        <v>2001</v>
      </c>
      <c r="D31" s="2">
        <v>3</v>
      </c>
      <c r="E31" s="4">
        <v>60</v>
      </c>
      <c r="F31" s="2"/>
      <c r="G31" s="2"/>
    </row>
    <row r="32" spans="1:13">
      <c r="A32">
        <f t="shared" si="0"/>
        <v>16</v>
      </c>
      <c r="B32" s="3" t="s">
        <v>66</v>
      </c>
      <c r="C32" s="5">
        <v>2001</v>
      </c>
      <c r="D32" s="2">
        <v>1</v>
      </c>
      <c r="E32" s="4">
        <v>40</v>
      </c>
      <c r="H32" s="2"/>
      <c r="I32" s="2"/>
      <c r="J32" s="2"/>
      <c r="K32" s="2"/>
      <c r="L32" s="2" t="s">
        <v>18</v>
      </c>
      <c r="M32" s="2" t="s">
        <v>19</v>
      </c>
    </row>
    <row r="33" spans="1:13">
      <c r="A33">
        <f t="shared" si="0"/>
        <v>16</v>
      </c>
      <c r="B33" s="3" t="s">
        <v>66</v>
      </c>
      <c r="C33" s="5">
        <v>2001</v>
      </c>
      <c r="D33" s="2">
        <v>3</v>
      </c>
      <c r="E33" s="4">
        <v>39</v>
      </c>
      <c r="F33" s="2"/>
      <c r="G33" s="2"/>
    </row>
    <row r="34" spans="1:13">
      <c r="A34">
        <f t="shared" si="0"/>
        <v>17</v>
      </c>
      <c r="B34" s="3" t="s">
        <v>67</v>
      </c>
      <c r="C34" s="5">
        <v>2002</v>
      </c>
      <c r="D34" s="2">
        <v>1</v>
      </c>
      <c r="E34" s="4">
        <v>42</v>
      </c>
      <c r="H34" s="2"/>
      <c r="I34" s="2"/>
      <c r="J34" s="2"/>
      <c r="K34" s="2"/>
      <c r="L34" s="2" t="s">
        <v>20</v>
      </c>
      <c r="M34" s="2" t="s">
        <v>19</v>
      </c>
    </row>
    <row r="35" spans="1:13">
      <c r="A35">
        <f t="shared" si="0"/>
        <v>17</v>
      </c>
      <c r="B35" s="3" t="s">
        <v>67</v>
      </c>
      <c r="C35" s="5">
        <v>2002</v>
      </c>
      <c r="D35" s="2">
        <v>3</v>
      </c>
      <c r="E35" s="4">
        <v>40</v>
      </c>
      <c r="F35" s="2"/>
      <c r="G35" s="2"/>
    </row>
    <row r="36" spans="1:13">
      <c r="A36">
        <f t="shared" si="0"/>
        <v>18</v>
      </c>
      <c r="B36" s="3" t="s">
        <v>68</v>
      </c>
      <c r="C36" s="5">
        <v>2003</v>
      </c>
      <c r="D36" s="2">
        <v>1</v>
      </c>
      <c r="E36" s="4">
        <v>60</v>
      </c>
      <c r="H36" s="2"/>
      <c r="I36" s="2"/>
      <c r="J36" s="2"/>
      <c r="K36" s="2"/>
      <c r="L36" s="2" t="s">
        <v>21</v>
      </c>
      <c r="M36" s="2" t="s">
        <v>19</v>
      </c>
    </row>
    <row r="37" spans="1:13">
      <c r="A37">
        <f t="shared" si="0"/>
        <v>18</v>
      </c>
      <c r="B37" s="3" t="s">
        <v>68</v>
      </c>
      <c r="C37" s="5">
        <v>2003</v>
      </c>
      <c r="D37" s="2">
        <v>3</v>
      </c>
      <c r="E37" s="4">
        <v>60</v>
      </c>
    </row>
    <row r="38" spans="1:13">
      <c r="A38">
        <f t="shared" si="0"/>
        <v>19</v>
      </c>
      <c r="B38" s="3" t="s">
        <v>69</v>
      </c>
      <c r="C38" s="5">
        <v>2005</v>
      </c>
      <c r="D38" s="2">
        <v>1</v>
      </c>
      <c r="E38" s="4">
        <v>30</v>
      </c>
      <c r="F38" s="2"/>
      <c r="G38" s="2"/>
      <c r="H38" s="2"/>
      <c r="I38" s="2"/>
      <c r="J38" s="2"/>
      <c r="K38" s="2"/>
      <c r="L38" s="2" t="s">
        <v>22</v>
      </c>
      <c r="M38" s="2" t="s">
        <v>2</v>
      </c>
    </row>
    <row r="39" spans="1:13">
      <c r="A39">
        <f t="shared" si="0"/>
        <v>19</v>
      </c>
      <c r="B39" s="3" t="s">
        <v>69</v>
      </c>
      <c r="C39" s="5">
        <v>2005</v>
      </c>
      <c r="D39" s="2">
        <v>3</v>
      </c>
      <c r="E39" s="4">
        <v>34</v>
      </c>
      <c r="F39" s="2"/>
      <c r="G39" s="2"/>
    </row>
    <row r="40" spans="1:13">
      <c r="A40">
        <f t="shared" si="0"/>
        <v>20</v>
      </c>
      <c r="B40" s="3" t="s">
        <v>70</v>
      </c>
      <c r="C40" s="5">
        <v>2008</v>
      </c>
      <c r="D40" s="2">
        <v>1</v>
      </c>
      <c r="E40" s="4">
        <v>24</v>
      </c>
      <c r="H40" s="2"/>
      <c r="I40" s="2"/>
      <c r="J40" s="2"/>
      <c r="K40" s="2"/>
      <c r="L40" s="2" t="s">
        <v>23</v>
      </c>
      <c r="M40" s="2" t="s">
        <v>19</v>
      </c>
    </row>
    <row r="41" spans="1:13">
      <c r="A41">
        <f t="shared" si="0"/>
        <v>20</v>
      </c>
      <c r="B41" s="3" t="s">
        <v>70</v>
      </c>
      <c r="C41" s="5">
        <v>2008</v>
      </c>
      <c r="D41" s="2">
        <v>3</v>
      </c>
      <c r="E41" s="4">
        <v>25</v>
      </c>
      <c r="F41" s="2"/>
      <c r="G41" s="2"/>
    </row>
    <row r="42" spans="1:13">
      <c r="A42">
        <f t="shared" si="0"/>
        <v>21</v>
      </c>
      <c r="B42" s="3" t="s">
        <v>71</v>
      </c>
      <c r="C42" s="5">
        <v>2009</v>
      </c>
      <c r="D42" s="2">
        <v>1</v>
      </c>
      <c r="E42" s="4">
        <v>40</v>
      </c>
      <c r="H42" s="2"/>
      <c r="I42" s="2"/>
      <c r="J42" s="2"/>
      <c r="K42" s="2"/>
      <c r="L42" s="2" t="s">
        <v>2</v>
      </c>
      <c r="M42" s="2" t="s">
        <v>24</v>
      </c>
    </row>
    <row r="43" spans="1:13">
      <c r="A43">
        <f t="shared" si="0"/>
        <v>21</v>
      </c>
      <c r="B43" s="3" t="s">
        <v>71</v>
      </c>
      <c r="C43" s="5">
        <v>2009</v>
      </c>
      <c r="D43" s="2">
        <v>3</v>
      </c>
      <c r="E43" s="4">
        <v>40</v>
      </c>
      <c r="F43" s="2"/>
      <c r="G43" s="2"/>
    </row>
    <row r="44" spans="1:13">
      <c r="A44">
        <f t="shared" si="0"/>
        <v>22</v>
      </c>
      <c r="B44" s="3" t="s">
        <v>72</v>
      </c>
      <c r="C44" s="5">
        <v>2012</v>
      </c>
      <c r="D44" s="2">
        <v>1</v>
      </c>
      <c r="E44" s="4">
        <v>15</v>
      </c>
      <c r="H44" s="2"/>
      <c r="I44" s="2"/>
      <c r="J44" s="2"/>
      <c r="K44" s="2"/>
      <c r="L44" s="2" t="s">
        <v>11</v>
      </c>
      <c r="M44" s="2" t="s">
        <v>25</v>
      </c>
    </row>
    <row r="45" spans="1:13">
      <c r="A45">
        <f t="shared" si="0"/>
        <v>22</v>
      </c>
      <c r="B45" s="3" t="s">
        <v>72</v>
      </c>
      <c r="C45" s="5">
        <v>2012</v>
      </c>
      <c r="D45" s="2">
        <v>3</v>
      </c>
      <c r="E45" s="4">
        <v>14</v>
      </c>
      <c r="F45" s="2"/>
      <c r="G45" s="2"/>
    </row>
    <row r="46" spans="1:13">
      <c r="A46">
        <f t="shared" si="0"/>
        <v>23</v>
      </c>
      <c r="B46" s="3" t="s">
        <v>73</v>
      </c>
      <c r="C46" s="5">
        <v>2014</v>
      </c>
      <c r="D46" s="2">
        <v>1</v>
      </c>
      <c r="E46" s="4">
        <v>80</v>
      </c>
      <c r="H46" s="2"/>
      <c r="I46" s="2"/>
      <c r="J46" s="2"/>
      <c r="K46" s="2"/>
      <c r="L46" s="2" t="s">
        <v>26</v>
      </c>
      <c r="M46" s="2" t="s">
        <v>2</v>
      </c>
    </row>
    <row r="47" spans="1:13">
      <c r="A47">
        <f t="shared" si="0"/>
        <v>23</v>
      </c>
      <c r="B47" s="3" t="s">
        <v>73</v>
      </c>
      <c r="C47" s="5">
        <v>2014</v>
      </c>
      <c r="D47" s="2">
        <v>3</v>
      </c>
      <c r="E47" s="4">
        <v>80</v>
      </c>
      <c r="F47" s="2"/>
      <c r="G47" s="2"/>
    </row>
    <row r="48" spans="1:13">
      <c r="A48">
        <f t="shared" si="0"/>
        <v>24</v>
      </c>
      <c r="B48" s="3" t="s">
        <v>74</v>
      </c>
      <c r="C48" s="5">
        <v>2015</v>
      </c>
      <c r="D48" s="2">
        <v>1</v>
      </c>
      <c r="E48" s="4">
        <v>33</v>
      </c>
      <c r="H48" s="2"/>
      <c r="I48" s="2"/>
      <c r="J48" s="2"/>
      <c r="K48" s="2"/>
      <c r="L48" s="2"/>
      <c r="M48" s="2" t="s">
        <v>2</v>
      </c>
    </row>
    <row r="49" spans="1:13">
      <c r="A49">
        <f t="shared" si="0"/>
        <v>24</v>
      </c>
      <c r="B49" s="3" t="s">
        <v>74</v>
      </c>
      <c r="C49" s="5">
        <v>2015</v>
      </c>
      <c r="D49" s="2">
        <v>3</v>
      </c>
      <c r="E49" s="4">
        <v>33</v>
      </c>
      <c r="F49" s="2"/>
      <c r="G49" s="2"/>
    </row>
    <row r="50" spans="1:13">
      <c r="A50">
        <f t="shared" si="0"/>
        <v>25</v>
      </c>
      <c r="B50" s="3" t="s">
        <v>75</v>
      </c>
      <c r="C50" s="5">
        <v>2016</v>
      </c>
      <c r="D50" s="2">
        <v>1</v>
      </c>
      <c r="E50" s="4">
        <v>52</v>
      </c>
      <c r="H50" s="2"/>
      <c r="I50" s="2"/>
      <c r="J50" s="2"/>
      <c r="K50" s="2"/>
      <c r="L50" s="2" t="s">
        <v>27</v>
      </c>
      <c r="M50" s="2" t="s">
        <v>24</v>
      </c>
    </row>
    <row r="51" spans="1:13">
      <c r="A51">
        <f t="shared" si="0"/>
        <v>25</v>
      </c>
      <c r="B51" s="3" t="s">
        <v>75</v>
      </c>
      <c r="C51" s="5">
        <v>2016</v>
      </c>
      <c r="D51" s="2">
        <v>3</v>
      </c>
      <c r="E51" s="4">
        <v>64</v>
      </c>
    </row>
    <row r="52" spans="1:13">
      <c r="A52">
        <f t="shared" si="0"/>
        <v>26</v>
      </c>
      <c r="B52" s="3" t="s">
        <v>76</v>
      </c>
      <c r="C52" s="5">
        <v>2017</v>
      </c>
      <c r="D52" s="2">
        <v>1</v>
      </c>
      <c r="E52" s="4">
        <v>70</v>
      </c>
      <c r="F52" s="2"/>
      <c r="G52" s="2"/>
      <c r="H52" s="2"/>
      <c r="I52" s="2"/>
      <c r="J52" s="2"/>
      <c r="K52" s="2"/>
      <c r="L52" s="2" t="s">
        <v>28</v>
      </c>
      <c r="M52" s="2" t="s">
        <v>29</v>
      </c>
    </row>
    <row r="53" spans="1:13">
      <c r="A53">
        <f t="shared" si="0"/>
        <v>26</v>
      </c>
      <c r="B53" s="3" t="s">
        <v>76</v>
      </c>
      <c r="C53" s="5">
        <v>2017</v>
      </c>
      <c r="D53" s="2">
        <v>3</v>
      </c>
      <c r="E53" s="4">
        <v>70</v>
      </c>
    </row>
    <row r="54" spans="1:13">
      <c r="A54">
        <f t="shared" si="0"/>
        <v>27</v>
      </c>
      <c r="B54" s="3" t="s">
        <v>77</v>
      </c>
      <c r="C54" s="5">
        <v>2021</v>
      </c>
      <c r="D54" s="2">
        <v>1</v>
      </c>
      <c r="E54" s="4">
        <v>30</v>
      </c>
      <c r="H54" s="2"/>
      <c r="I54" s="2"/>
      <c r="J54" s="2"/>
      <c r="K54" s="2"/>
      <c r="L54" s="2" t="s">
        <v>2</v>
      </c>
      <c r="M54" s="2" t="s">
        <v>30</v>
      </c>
    </row>
    <row r="55" spans="1:13">
      <c r="A55">
        <f t="shared" si="0"/>
        <v>27</v>
      </c>
      <c r="B55" s="3" t="s">
        <v>77</v>
      </c>
      <c r="C55" s="5">
        <v>2021</v>
      </c>
      <c r="D55" s="2">
        <v>3</v>
      </c>
      <c r="E55" s="4">
        <v>30</v>
      </c>
      <c r="F55" s="2"/>
      <c r="G55" s="2"/>
    </row>
    <row r="56" spans="1:13">
      <c r="A56">
        <f t="shared" si="0"/>
        <v>28</v>
      </c>
      <c r="B56" s="3" t="s">
        <v>78</v>
      </c>
      <c r="C56" s="5">
        <v>2013</v>
      </c>
      <c r="D56" s="2">
        <v>1</v>
      </c>
      <c r="E56" s="4">
        <v>30</v>
      </c>
      <c r="H56" s="2"/>
      <c r="I56" s="2"/>
      <c r="J56" s="2"/>
      <c r="K56" s="2"/>
      <c r="L56" s="2" t="s">
        <v>2</v>
      </c>
      <c r="M56" s="2" t="s">
        <v>9</v>
      </c>
    </row>
    <row r="57" spans="1:13">
      <c r="A57">
        <f t="shared" si="0"/>
        <v>28</v>
      </c>
      <c r="B57" s="3" t="s">
        <v>78</v>
      </c>
      <c r="C57" s="5">
        <v>2013</v>
      </c>
      <c r="D57" s="2">
        <v>3</v>
      </c>
      <c r="E57" s="4">
        <v>30</v>
      </c>
    </row>
    <row r="58" spans="1:13">
      <c r="A58">
        <f t="shared" si="0"/>
        <v>29</v>
      </c>
      <c r="B58" s="3" t="s">
        <v>96</v>
      </c>
      <c r="C58" s="5">
        <v>2014</v>
      </c>
      <c r="D58" s="2">
        <v>4</v>
      </c>
      <c r="E58" s="4">
        <v>30</v>
      </c>
    </row>
    <row r="59" spans="1:13">
      <c r="A59">
        <f t="shared" si="0"/>
        <v>30</v>
      </c>
      <c r="B59" s="3" t="s">
        <v>79</v>
      </c>
      <c r="C59" s="5">
        <v>1993</v>
      </c>
      <c r="D59" s="2">
        <v>1</v>
      </c>
      <c r="E59" s="4">
        <v>30</v>
      </c>
      <c r="F59" s="2"/>
      <c r="G59" s="2"/>
      <c r="H59" s="2"/>
      <c r="I59" s="2"/>
      <c r="J59" s="2"/>
      <c r="K59" s="2"/>
      <c r="L59" s="2" t="s">
        <v>2</v>
      </c>
      <c r="M59" s="2" t="s">
        <v>31</v>
      </c>
    </row>
    <row r="60" spans="1:13">
      <c r="A60">
        <f t="shared" si="0"/>
        <v>30</v>
      </c>
      <c r="B60" s="3" t="s">
        <v>79</v>
      </c>
      <c r="C60" s="5">
        <v>1993</v>
      </c>
      <c r="D60" s="2">
        <v>3</v>
      </c>
      <c r="E60" s="4">
        <v>29</v>
      </c>
    </row>
    <row r="61" spans="1:13">
      <c r="A61">
        <f t="shared" si="0"/>
        <v>31</v>
      </c>
      <c r="B61" s="3" t="s">
        <v>80</v>
      </c>
      <c r="C61" s="5">
        <v>1996</v>
      </c>
      <c r="D61" s="2">
        <v>1</v>
      </c>
      <c r="E61" s="4">
        <v>32</v>
      </c>
      <c r="F61" s="2"/>
      <c r="G61" s="2"/>
      <c r="H61" s="2"/>
      <c r="I61" s="2"/>
      <c r="J61" s="2"/>
      <c r="K61" s="2"/>
      <c r="L61" s="2" t="s">
        <v>2</v>
      </c>
      <c r="M61" s="2" t="s">
        <v>32</v>
      </c>
    </row>
    <row r="62" spans="1:13">
      <c r="A62">
        <f t="shared" si="0"/>
        <v>31</v>
      </c>
      <c r="B62" s="3" t="s">
        <v>80</v>
      </c>
      <c r="C62" s="5">
        <v>1996</v>
      </c>
      <c r="D62" s="2">
        <v>5</v>
      </c>
      <c r="E62" s="4">
        <v>30</v>
      </c>
      <c r="F62" s="2"/>
      <c r="G62" s="2"/>
    </row>
    <row r="63" spans="1:13">
      <c r="A63">
        <f t="shared" si="0"/>
        <v>32</v>
      </c>
      <c r="B63" s="3" t="s">
        <v>81</v>
      </c>
      <c r="C63" s="5">
        <v>1995</v>
      </c>
      <c r="D63" s="2">
        <v>1</v>
      </c>
      <c r="E63" s="4">
        <v>15</v>
      </c>
      <c r="H63" s="2"/>
      <c r="I63" s="2"/>
      <c r="J63" s="2"/>
      <c r="K63" s="2"/>
      <c r="L63" s="2" t="s">
        <v>11</v>
      </c>
      <c r="M63" s="2" t="s">
        <v>33</v>
      </c>
    </row>
    <row r="64" spans="1:13">
      <c r="A64">
        <f t="shared" si="0"/>
        <v>32</v>
      </c>
      <c r="B64" s="3" t="s">
        <v>81</v>
      </c>
      <c r="C64" s="5">
        <v>1995</v>
      </c>
      <c r="D64" s="2">
        <v>4</v>
      </c>
      <c r="E64" s="4">
        <v>15</v>
      </c>
      <c r="F64" s="2"/>
      <c r="G64" s="2"/>
    </row>
    <row r="65" spans="1:13">
      <c r="A65">
        <f t="shared" si="0"/>
        <v>33</v>
      </c>
      <c r="B65" s="3" t="s">
        <v>82</v>
      </c>
      <c r="C65" s="5">
        <v>1994</v>
      </c>
      <c r="D65" s="2">
        <v>1</v>
      </c>
      <c r="E65" s="4">
        <v>30</v>
      </c>
      <c r="H65" s="2"/>
      <c r="I65" s="2"/>
      <c r="J65" s="2"/>
      <c r="K65" s="2"/>
      <c r="L65" s="2" t="s">
        <v>2</v>
      </c>
      <c r="M65" s="2" t="s">
        <v>9</v>
      </c>
    </row>
    <row r="66" spans="1:13">
      <c r="A66">
        <f t="shared" si="0"/>
        <v>33</v>
      </c>
      <c r="B66" s="3" t="s">
        <v>82</v>
      </c>
      <c r="C66" s="5">
        <v>1994</v>
      </c>
      <c r="D66" s="2">
        <v>5</v>
      </c>
      <c r="E66" s="4">
        <v>30</v>
      </c>
      <c r="F66" s="2"/>
      <c r="G66" s="2"/>
    </row>
    <row r="67" spans="1:13">
      <c r="A67">
        <f t="shared" si="0"/>
        <v>34</v>
      </c>
      <c r="B67" s="3" t="s">
        <v>83</v>
      </c>
      <c r="C67" s="5">
        <v>1996</v>
      </c>
      <c r="D67" s="2">
        <v>1</v>
      </c>
      <c r="E67" s="4">
        <v>12</v>
      </c>
      <c r="H67" s="2"/>
      <c r="I67" s="2"/>
      <c r="J67" s="2"/>
      <c r="K67" s="2"/>
      <c r="L67" s="2" t="s">
        <v>2</v>
      </c>
      <c r="M67" s="2" t="s">
        <v>34</v>
      </c>
    </row>
    <row r="68" spans="1:13">
      <c r="A68">
        <f t="shared" ref="A68:A71" si="1">IF(B68=B67,A67,A67+1)</f>
        <v>34</v>
      </c>
      <c r="B68" s="3" t="s">
        <v>83</v>
      </c>
      <c r="C68" s="5">
        <v>1996</v>
      </c>
      <c r="D68" s="2">
        <v>5</v>
      </c>
      <c r="E68" s="4">
        <v>13</v>
      </c>
      <c r="F68" s="2"/>
      <c r="G68" s="2"/>
    </row>
    <row r="69" spans="1:13">
      <c r="A69">
        <f t="shared" si="1"/>
        <v>35</v>
      </c>
      <c r="B69" s="3" t="s">
        <v>84</v>
      </c>
      <c r="C69" s="5">
        <v>2001</v>
      </c>
      <c r="D69" s="2">
        <v>1</v>
      </c>
      <c r="E69" s="4">
        <v>20</v>
      </c>
      <c r="H69" s="2"/>
      <c r="I69" s="2"/>
      <c r="J69" s="2"/>
      <c r="K69" s="2"/>
      <c r="L69" s="2" t="s">
        <v>35</v>
      </c>
      <c r="M69" s="2" t="s">
        <v>36</v>
      </c>
    </row>
    <row r="70" spans="1:13">
      <c r="A70">
        <f t="shared" si="1"/>
        <v>35</v>
      </c>
      <c r="B70" s="3" t="s">
        <v>84</v>
      </c>
      <c r="C70" s="5">
        <v>2001</v>
      </c>
      <c r="D70" s="2">
        <v>5</v>
      </c>
      <c r="E70" s="4">
        <v>24</v>
      </c>
      <c r="F70" s="2"/>
      <c r="G70" s="2"/>
    </row>
    <row r="71" spans="1:13">
      <c r="A71">
        <f t="shared" si="1"/>
        <v>36</v>
      </c>
      <c r="B71" s="3" t="s">
        <v>85</v>
      </c>
      <c r="C71" s="5">
        <v>2003</v>
      </c>
      <c r="D71" s="2">
        <v>1</v>
      </c>
      <c r="E71" s="4">
        <v>22</v>
      </c>
      <c r="H71" s="2"/>
      <c r="I71" s="2"/>
      <c r="J71" s="2"/>
      <c r="K71" s="2"/>
      <c r="L71" s="2" t="s">
        <v>37</v>
      </c>
      <c r="M71" s="2" t="s">
        <v>2</v>
      </c>
    </row>
    <row r="72" spans="1:13">
      <c r="A72">
        <f>IF(B72=B71,A71,A71+1)</f>
        <v>36</v>
      </c>
      <c r="B72" s="3" t="s">
        <v>85</v>
      </c>
      <c r="C72" s="5">
        <v>2003</v>
      </c>
      <c r="D72" s="2">
        <v>5</v>
      </c>
      <c r="E72" s="4">
        <v>22</v>
      </c>
    </row>
    <row r="73" spans="1:13">
      <c r="A73">
        <f t="shared" ref="A73:A92" si="2">IF(B73=B72,A72,A72+1)</f>
        <v>37</v>
      </c>
      <c r="B73" s="3" t="s">
        <v>86</v>
      </c>
      <c r="C73" s="5">
        <v>2007</v>
      </c>
      <c r="D73" s="2">
        <v>1</v>
      </c>
      <c r="E73" s="4">
        <v>45</v>
      </c>
      <c r="F73" s="2"/>
      <c r="G73" s="2"/>
      <c r="H73" s="2"/>
      <c r="I73" s="2"/>
      <c r="J73" s="2"/>
      <c r="K73" s="2"/>
      <c r="L73" s="2" t="s">
        <v>11</v>
      </c>
      <c r="M73" s="2" t="s">
        <v>25</v>
      </c>
    </row>
    <row r="74" spans="1:13">
      <c r="A74">
        <f t="shared" si="2"/>
        <v>37</v>
      </c>
      <c r="B74" s="3" t="s">
        <v>86</v>
      </c>
      <c r="C74" s="5">
        <v>2007</v>
      </c>
      <c r="D74" s="2">
        <v>5</v>
      </c>
      <c r="E74" s="4">
        <v>45</v>
      </c>
    </row>
    <row r="75" spans="1:13">
      <c r="A75">
        <f t="shared" si="2"/>
        <v>38</v>
      </c>
      <c r="B75" s="3" t="s">
        <v>87</v>
      </c>
      <c r="C75" s="5">
        <v>2018</v>
      </c>
      <c r="D75" s="2">
        <v>1</v>
      </c>
      <c r="E75" s="4">
        <v>50</v>
      </c>
      <c r="F75" s="2"/>
      <c r="G75" s="2"/>
      <c r="H75" s="2"/>
      <c r="I75" s="2"/>
      <c r="J75" s="2"/>
      <c r="K75" s="2"/>
      <c r="L75" s="2" t="s">
        <v>2</v>
      </c>
      <c r="M75" s="2" t="s">
        <v>38</v>
      </c>
    </row>
    <row r="76" spans="1:13">
      <c r="A76">
        <f t="shared" si="2"/>
        <v>38</v>
      </c>
      <c r="B76" s="3" t="s">
        <v>87</v>
      </c>
      <c r="C76" s="5">
        <v>2018</v>
      </c>
      <c r="D76" s="2">
        <v>5</v>
      </c>
      <c r="E76" s="4">
        <v>50</v>
      </c>
      <c r="F76" s="2"/>
      <c r="G76" s="2"/>
    </row>
    <row r="77" spans="1:13">
      <c r="A77">
        <f t="shared" si="2"/>
        <v>39</v>
      </c>
      <c r="B77" s="3" t="s">
        <v>88</v>
      </c>
      <c r="C77" s="5">
        <v>2017</v>
      </c>
      <c r="D77" s="2">
        <v>1</v>
      </c>
      <c r="E77" s="4">
        <v>41</v>
      </c>
      <c r="H77" s="2"/>
      <c r="I77" s="2"/>
      <c r="J77" s="2"/>
      <c r="K77" s="2"/>
      <c r="L77" s="2" t="s">
        <v>2</v>
      </c>
      <c r="M77" s="2" t="s">
        <v>34</v>
      </c>
    </row>
    <row r="78" spans="1:13">
      <c r="A78">
        <f t="shared" si="2"/>
        <v>39</v>
      </c>
      <c r="B78" s="3" t="s">
        <v>88</v>
      </c>
      <c r="C78" s="5">
        <v>2017</v>
      </c>
      <c r="D78" s="2">
        <v>6</v>
      </c>
      <c r="E78" s="4">
        <v>41</v>
      </c>
      <c r="F78" s="2"/>
      <c r="G78" s="2"/>
    </row>
    <row r="79" spans="1:13">
      <c r="A79">
        <f t="shared" si="2"/>
        <v>40</v>
      </c>
      <c r="B79" s="3" t="s">
        <v>89</v>
      </c>
      <c r="C79" s="5">
        <v>1994</v>
      </c>
      <c r="D79" s="2">
        <v>1</v>
      </c>
      <c r="E79" s="4">
        <v>40</v>
      </c>
      <c r="H79" s="2"/>
      <c r="I79" s="2"/>
      <c r="J79" s="2"/>
      <c r="K79" s="2"/>
      <c r="L79" s="2" t="s">
        <v>2</v>
      </c>
      <c r="M79" s="2" t="s">
        <v>39</v>
      </c>
    </row>
    <row r="80" spans="1:13">
      <c r="A80">
        <f t="shared" si="2"/>
        <v>40</v>
      </c>
      <c r="B80" s="3" t="s">
        <v>89</v>
      </c>
      <c r="C80" s="5">
        <v>1994</v>
      </c>
      <c r="D80" s="2">
        <v>7</v>
      </c>
      <c r="E80" s="4">
        <v>40</v>
      </c>
      <c r="F80" s="2"/>
      <c r="G80" s="2"/>
    </row>
    <row r="81" spans="1:13">
      <c r="A81">
        <f t="shared" si="2"/>
        <v>41</v>
      </c>
      <c r="B81" s="3" t="s">
        <v>90</v>
      </c>
      <c r="C81" s="5">
        <v>1995</v>
      </c>
      <c r="D81" s="2">
        <v>1</v>
      </c>
      <c r="E81" s="4">
        <v>25</v>
      </c>
      <c r="H81" s="2"/>
      <c r="I81" s="2"/>
      <c r="J81" s="2"/>
      <c r="K81" s="2"/>
      <c r="L81" s="2" t="s">
        <v>11</v>
      </c>
      <c r="M81" s="2" t="s">
        <v>40</v>
      </c>
    </row>
    <row r="82" spans="1:13">
      <c r="A82">
        <f t="shared" si="2"/>
        <v>41</v>
      </c>
      <c r="B82" s="3" t="s">
        <v>90</v>
      </c>
      <c r="C82" s="5">
        <v>1995</v>
      </c>
      <c r="D82" s="2">
        <v>7</v>
      </c>
      <c r="E82" s="4">
        <v>25</v>
      </c>
      <c r="F82" s="2"/>
      <c r="G82" s="2"/>
    </row>
    <row r="83" spans="1:13">
      <c r="A83">
        <f t="shared" si="2"/>
        <v>42</v>
      </c>
      <c r="B83" s="3" t="s">
        <v>91</v>
      </c>
      <c r="C83" s="5">
        <v>1997</v>
      </c>
      <c r="D83" s="2">
        <v>1</v>
      </c>
      <c r="E83" s="4">
        <v>20</v>
      </c>
      <c r="H83" s="2"/>
      <c r="I83" s="2"/>
      <c r="J83" s="2"/>
      <c r="K83" s="2"/>
      <c r="L83" s="2" t="s">
        <v>41</v>
      </c>
      <c r="M83" s="2" t="s">
        <v>2</v>
      </c>
    </row>
    <row r="84" spans="1:13">
      <c r="A84">
        <f t="shared" si="2"/>
        <v>42</v>
      </c>
      <c r="B84" s="3" t="s">
        <v>91</v>
      </c>
      <c r="C84" s="5">
        <v>1997</v>
      </c>
      <c r="D84" s="2">
        <v>7</v>
      </c>
      <c r="E84" s="4">
        <v>20</v>
      </c>
      <c r="F84" s="2"/>
      <c r="G84" s="2"/>
    </row>
    <row r="85" spans="1:13">
      <c r="A85">
        <f t="shared" si="2"/>
        <v>43</v>
      </c>
      <c r="B85" s="3" t="s">
        <v>92</v>
      </c>
      <c r="C85" s="5">
        <v>2002</v>
      </c>
      <c r="D85" s="2">
        <v>1</v>
      </c>
      <c r="E85" s="4">
        <v>59</v>
      </c>
      <c r="H85" s="2"/>
      <c r="I85" s="2"/>
      <c r="J85" s="2"/>
      <c r="K85" s="2"/>
      <c r="L85" s="2" t="s">
        <v>2</v>
      </c>
      <c r="M85" s="2" t="s">
        <v>9</v>
      </c>
    </row>
    <row r="86" spans="1:13">
      <c r="A86">
        <f t="shared" si="2"/>
        <v>43</v>
      </c>
      <c r="B86" s="3" t="s">
        <v>92</v>
      </c>
      <c r="C86" s="5">
        <v>2002</v>
      </c>
      <c r="D86" s="2">
        <v>7</v>
      </c>
      <c r="E86" s="4">
        <v>58</v>
      </c>
    </row>
    <row r="87" spans="1:13">
      <c r="A87">
        <f t="shared" si="2"/>
        <v>44</v>
      </c>
      <c r="B87" s="3" t="s">
        <v>93</v>
      </c>
      <c r="C87" s="5">
        <v>2003</v>
      </c>
      <c r="D87" s="2">
        <v>1</v>
      </c>
      <c r="E87" s="4">
        <v>48</v>
      </c>
      <c r="F87" s="2"/>
      <c r="G87" s="2"/>
      <c r="H87" s="2"/>
      <c r="I87" s="2"/>
      <c r="J87" s="2"/>
      <c r="K87" s="2"/>
      <c r="L87" s="2" t="s">
        <v>4</v>
      </c>
      <c r="M87" s="2" t="s">
        <v>2</v>
      </c>
    </row>
    <row r="88" spans="1:13">
      <c r="A88">
        <f t="shared" si="2"/>
        <v>44</v>
      </c>
      <c r="B88" s="3" t="s">
        <v>93</v>
      </c>
      <c r="C88" s="5">
        <v>2003</v>
      </c>
      <c r="D88" s="2">
        <v>7</v>
      </c>
      <c r="E88" s="4">
        <v>45</v>
      </c>
    </row>
    <row r="89" spans="1:13">
      <c r="A89">
        <f t="shared" si="2"/>
        <v>45</v>
      </c>
      <c r="B89" s="3" t="s">
        <v>94</v>
      </c>
      <c r="C89" s="5">
        <v>2005</v>
      </c>
      <c r="D89" s="2">
        <v>1</v>
      </c>
      <c r="E89" s="4">
        <v>40</v>
      </c>
      <c r="H89" s="2"/>
      <c r="I89" s="2"/>
      <c r="J89" s="2"/>
      <c r="K89" s="2"/>
      <c r="L89" s="2" t="s">
        <v>4</v>
      </c>
      <c r="M89" s="2" t="s">
        <v>2</v>
      </c>
    </row>
    <row r="90" spans="1:13">
      <c r="A90">
        <f t="shared" si="2"/>
        <v>45</v>
      </c>
      <c r="B90" s="3" t="s">
        <v>94</v>
      </c>
      <c r="C90" s="5">
        <v>2005</v>
      </c>
      <c r="D90" s="2">
        <v>7</v>
      </c>
      <c r="E90" s="4">
        <v>40</v>
      </c>
    </row>
    <row r="91" spans="1:13">
      <c r="A91">
        <f t="shared" si="2"/>
        <v>46</v>
      </c>
      <c r="B91" s="3" t="s">
        <v>95</v>
      </c>
      <c r="C91" s="5">
        <v>2010</v>
      </c>
      <c r="D91" s="2">
        <v>5</v>
      </c>
      <c r="E91" s="4">
        <v>33</v>
      </c>
      <c r="H91" s="2"/>
      <c r="I91" s="2"/>
      <c r="J91" s="2"/>
      <c r="K91" s="2"/>
      <c r="L91" s="2" t="s">
        <v>4</v>
      </c>
      <c r="M91" s="2" t="s">
        <v>19</v>
      </c>
    </row>
    <row r="92" spans="1:13">
      <c r="A92">
        <f t="shared" si="2"/>
        <v>46</v>
      </c>
      <c r="B92" s="3" t="s">
        <v>95</v>
      </c>
      <c r="C92" s="5">
        <v>2010</v>
      </c>
      <c r="D92" s="2">
        <v>6</v>
      </c>
      <c r="E92" s="4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2025-05-10T16:25:11Z</dcterms:created>
  <dcterms:modified xsi:type="dcterms:W3CDTF">2025-05-10T16:50:22Z</dcterms:modified>
</cp:coreProperties>
</file>