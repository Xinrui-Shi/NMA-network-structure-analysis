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XS/Third Sample/"/>
    </mc:Choice>
  </mc:AlternateContent>
  <xr:revisionPtr revIDLastSave="0" documentId="13_ncr:1_{6B828AEF-0175-694C-967D-318185C42E4F}" xr6:coauthVersionLast="47" xr6:coauthVersionMax="47" xr10:uidLastSave="{00000000-0000-0000-0000-000000000000}"/>
  <bookViews>
    <workbookView xWindow="0" yWindow="740" windowWidth="30240" windowHeight="18900" xr2:uid="{7E4861D3-EFCE-2B4F-9705-270F01D43FB4}"/>
  </bookViews>
  <sheets>
    <sheet name="Sheet2" sheetId="2" r:id="rId1"/>
  </sheets>
  <definedNames>
    <definedName name="_xlnm._FilterDatabase" localSheetId="0" hidden="1">Sheet2!$B$1:$B$9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2" l="1"/>
  <c r="A28" i="2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" i="2"/>
</calcChain>
</file>

<file path=xl/sharedStrings.xml><?xml version="1.0" encoding="utf-8"?>
<sst xmlns="http://schemas.openxmlformats.org/spreadsheetml/2006/main" count="41" uniqueCount="41">
  <si>
    <t>BEVORDEX</t>
  </si>
  <si>
    <t>BOLT</t>
  </si>
  <si>
    <t>Chatzirallis 2020</t>
  </si>
  <si>
    <t>DA VINCI</t>
  </si>
  <si>
    <t>Laser PRN</t>
  </si>
  <si>
    <t>DRCR T</t>
  </si>
  <si>
    <t>Eichenbaum 2018</t>
  </si>
  <si>
    <t>LUCIDATE</t>
  </si>
  <si>
    <t>Ozsaygili 2020</t>
  </si>
  <si>
    <t>REACT</t>
  </si>
  <si>
    <t>REFINE</t>
  </si>
  <si>
    <t>RESOLVE</t>
  </si>
  <si>
    <t>RESPOND</t>
  </si>
  <si>
    <t>RESTORE</t>
  </si>
  <si>
    <t>RETAIN</t>
  </si>
  <si>
    <t>REVEAL</t>
  </si>
  <si>
    <t>RHINE</t>
  </si>
  <si>
    <t>ROTATE</t>
  </si>
  <si>
    <t>TREX-DME</t>
  </si>
  <si>
    <t>VISTA</t>
  </si>
  <si>
    <t>VIVID</t>
  </si>
  <si>
    <t>VIVID-East</t>
  </si>
  <si>
    <t>YOSEMITE</t>
  </si>
  <si>
    <t>StudyName</t>
    <phoneticPr fontId="2" type="noConversion"/>
  </si>
  <si>
    <t>StudyID</t>
    <phoneticPr fontId="2" type="noConversion"/>
  </si>
  <si>
    <t>AFL 2 mg IVT Q4W</t>
  </si>
  <si>
    <t>AFL 2 mg IVT Q8W</t>
  </si>
  <si>
    <t>AFL 2 mg IVT PRN</t>
  </si>
  <si>
    <t>FAR 6 mg IVT Q8W</t>
  </si>
  <si>
    <t>FAR 6 mg IVT T&amp;E</t>
  </si>
  <si>
    <t>RAN 0.3/0.5 mg IVT Q4W</t>
  </si>
  <si>
    <t>RAN 0.3/0.5 mg IVT PRN</t>
  </si>
  <si>
    <t>RAN 0.3/0.5 mg IVT T&amp;E</t>
  </si>
  <si>
    <t>BEV 1.25 mg IVT PRN</t>
  </si>
  <si>
    <t>DEX 0.7 mg PRN</t>
  </si>
  <si>
    <t>Sham / PBO</t>
  </si>
  <si>
    <t>Year</t>
    <phoneticPr fontId="2" type="noConversion"/>
  </si>
  <si>
    <t>n</t>
    <phoneticPr fontId="2" type="noConversion"/>
  </si>
  <si>
    <t>y</t>
    <phoneticPr fontId="2" type="noConversion"/>
  </si>
  <si>
    <t>se</t>
    <phoneticPr fontId="2" type="noConversion"/>
  </si>
  <si>
    <t>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</si>
</sst>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BF04-C17C-1748-85AC-7A549756177D}">
  <dimension ref="A1:O53"/>
  <sheetViews>
    <sheetView tabSelected="1" workbookViewId="0">
      <selection activeCell="C12" sqref="C12"/>
    </sheetView>
  </sheetViews>
  <sheetFormatPr baseColWidth="10" defaultRowHeight="16"/>
  <cols>
    <col min="1" max="1" width="10.83203125" style="3"/>
    <col min="2" max="2" width="17.6640625" style="3" bestFit="1" customWidth="1"/>
    <col min="3" max="3" width="17.6640625" style="3" customWidth="1"/>
    <col min="4" max="4" width="25" style="3" bestFit="1" customWidth="1"/>
    <col min="5" max="5" width="9" style="3" bestFit="1" customWidth="1"/>
    <col min="6" max="6" width="6.83203125" style="3" bestFit="1" customWidth="1"/>
    <col min="7" max="7" width="7" style="3" bestFit="1" customWidth="1"/>
    <col min="8" max="16384" width="10.83203125" style="3"/>
  </cols>
  <sheetData>
    <row r="1" spans="1:15" s="3" customFormat="1">
      <c r="A1" s="3" t="s">
        <v>24</v>
      </c>
      <c r="B1" s="4" t="s">
        <v>23</v>
      </c>
      <c r="C1" s="4" t="s">
        <v>36</v>
      </c>
      <c r="D1" s="3" t="s">
        <v>40</v>
      </c>
      <c r="E1" s="3" t="s">
        <v>37</v>
      </c>
      <c r="F1" s="3" t="s">
        <v>38</v>
      </c>
      <c r="G1" s="3" t="s">
        <v>39</v>
      </c>
    </row>
    <row r="2" spans="1:15" s="3" customFormat="1">
      <c r="A2" s="3">
        <v>1</v>
      </c>
      <c r="B2" s="4" t="s">
        <v>0</v>
      </c>
      <c r="C2" s="4">
        <v>2014</v>
      </c>
      <c r="D2" s="3">
        <v>9</v>
      </c>
      <c r="E2" s="3">
        <v>42</v>
      </c>
      <c r="F2" s="3">
        <v>8.9</v>
      </c>
      <c r="G2" s="3">
        <v>1.3580000000000001</v>
      </c>
      <c r="I2" s="3">
        <v>1</v>
      </c>
      <c r="J2" s="4" t="s">
        <v>25</v>
      </c>
      <c r="M2" s="1"/>
      <c r="N2" s="2"/>
      <c r="O2" s="1"/>
    </row>
    <row r="3" spans="1:15" s="3" customFormat="1">
      <c r="A3" s="3">
        <f>IF(B3="",A2,A2+1)</f>
        <v>1</v>
      </c>
      <c r="B3" s="4"/>
      <c r="C3" s="4">
        <v>2014</v>
      </c>
      <c r="D3" s="3">
        <v>10</v>
      </c>
      <c r="E3" s="3">
        <v>46</v>
      </c>
      <c r="F3" s="3">
        <v>5.6</v>
      </c>
      <c r="G3" s="3">
        <v>2.403</v>
      </c>
      <c r="I3" s="3">
        <v>2</v>
      </c>
      <c r="J3" s="4" t="s">
        <v>26</v>
      </c>
      <c r="M3" s="1"/>
      <c r="N3" s="1"/>
      <c r="O3" s="1"/>
    </row>
    <row r="4" spans="1:15" s="3" customFormat="1">
      <c r="A4" s="3">
        <f t="shared" ref="A4:A52" si="0">IF(B4="",A3,A3+1)</f>
        <v>2</v>
      </c>
      <c r="B4" s="4" t="s">
        <v>1</v>
      </c>
      <c r="C4" s="4">
        <v>2010</v>
      </c>
      <c r="D4" s="3">
        <v>9</v>
      </c>
      <c r="E4" s="3">
        <v>42</v>
      </c>
      <c r="F4" s="3">
        <v>5.5990000000000002</v>
      </c>
      <c r="G4" s="3">
        <v>1.554</v>
      </c>
      <c r="I4" s="3">
        <v>3</v>
      </c>
      <c r="J4" s="4" t="s">
        <v>27</v>
      </c>
      <c r="M4" s="1"/>
      <c r="N4" s="1"/>
      <c r="O4" s="1"/>
    </row>
    <row r="5" spans="1:15" s="3" customFormat="1">
      <c r="A5" s="3">
        <f t="shared" si="0"/>
        <v>2</v>
      </c>
      <c r="B5" s="4"/>
      <c r="C5" s="4">
        <v>2010</v>
      </c>
      <c r="D5" s="3">
        <v>11</v>
      </c>
      <c r="E5" s="3">
        <v>38</v>
      </c>
      <c r="F5" s="3">
        <v>4.5999999999999996</v>
      </c>
      <c r="G5" s="3">
        <v>2.3330000000000002</v>
      </c>
      <c r="I5" s="3">
        <v>4</v>
      </c>
      <c r="J5" s="4" t="s">
        <v>28</v>
      </c>
      <c r="M5" s="1"/>
      <c r="N5" s="2"/>
      <c r="O5" s="1"/>
    </row>
    <row r="6" spans="1:15" s="3" customFormat="1">
      <c r="A6" s="3">
        <f t="shared" si="0"/>
        <v>3</v>
      </c>
      <c r="B6" s="4" t="s">
        <v>2</v>
      </c>
      <c r="C6" s="4">
        <v>2020</v>
      </c>
      <c r="D6" s="3">
        <v>3</v>
      </c>
      <c r="E6" s="3">
        <v>58</v>
      </c>
      <c r="F6" s="3">
        <v>5.8</v>
      </c>
      <c r="G6" s="3">
        <v>1.3120000000000001</v>
      </c>
      <c r="I6" s="3">
        <v>5</v>
      </c>
      <c r="J6" s="4" t="s">
        <v>29</v>
      </c>
      <c r="M6" s="1"/>
      <c r="N6" s="1"/>
      <c r="O6" s="1"/>
    </row>
    <row r="7" spans="1:15" s="3" customFormat="1">
      <c r="A7" s="3">
        <f t="shared" si="0"/>
        <v>3</v>
      </c>
      <c r="B7" s="4"/>
      <c r="C7" s="4">
        <v>2020</v>
      </c>
      <c r="D7" s="3">
        <v>7</v>
      </c>
      <c r="E7" s="3">
        <v>54</v>
      </c>
      <c r="F7" s="3">
        <v>6.2</v>
      </c>
      <c r="G7" s="3">
        <v>1.36</v>
      </c>
      <c r="I7" s="3">
        <v>6</v>
      </c>
      <c r="J7" s="4" t="s">
        <v>30</v>
      </c>
      <c r="M7" s="1"/>
      <c r="N7" s="2"/>
      <c r="O7" s="1"/>
    </row>
    <row r="8" spans="1:15" s="3" customFormat="1">
      <c r="A8" s="3">
        <f t="shared" si="0"/>
        <v>4</v>
      </c>
      <c r="B8" s="4" t="s">
        <v>3</v>
      </c>
      <c r="C8" s="4">
        <v>2012</v>
      </c>
      <c r="D8" s="3">
        <v>3</v>
      </c>
      <c r="E8" s="3">
        <v>45</v>
      </c>
      <c r="F8" s="3">
        <v>12</v>
      </c>
      <c r="G8" s="3">
        <v>1.653</v>
      </c>
      <c r="I8" s="3">
        <v>7</v>
      </c>
      <c r="J8" s="4" t="s">
        <v>31</v>
      </c>
      <c r="M8" s="1"/>
      <c r="N8" s="2"/>
      <c r="O8" s="1"/>
    </row>
    <row r="9" spans="1:15" s="3" customFormat="1">
      <c r="A9" s="3">
        <f t="shared" si="0"/>
        <v>4</v>
      </c>
      <c r="B9" s="4"/>
      <c r="C9" s="4">
        <v>2012</v>
      </c>
      <c r="D9" s="3">
        <v>1</v>
      </c>
      <c r="E9" s="3">
        <v>44</v>
      </c>
      <c r="F9" s="3">
        <v>13.1</v>
      </c>
      <c r="G9" s="3">
        <v>1.589</v>
      </c>
      <c r="I9" s="3">
        <v>8</v>
      </c>
      <c r="J9" s="4" t="s">
        <v>32</v>
      </c>
      <c r="M9" s="1"/>
      <c r="N9" s="2"/>
      <c r="O9" s="1"/>
    </row>
    <row r="10" spans="1:15" s="3" customFormat="1">
      <c r="A10" s="3">
        <f t="shared" si="0"/>
        <v>4</v>
      </c>
      <c r="C10" s="4">
        <v>2012</v>
      </c>
      <c r="D10" s="3">
        <v>2</v>
      </c>
      <c r="E10" s="3">
        <v>42</v>
      </c>
      <c r="F10" s="3">
        <v>9.6999999999999993</v>
      </c>
      <c r="G10" s="3">
        <v>1.3779999999999999</v>
      </c>
      <c r="I10" s="3">
        <v>9</v>
      </c>
      <c r="J10" s="4" t="s">
        <v>33</v>
      </c>
      <c r="M10" s="1"/>
      <c r="N10" s="2"/>
      <c r="O10" s="1"/>
    </row>
    <row r="11" spans="1:15" s="3" customFormat="1">
      <c r="A11" s="3">
        <f t="shared" si="0"/>
        <v>4</v>
      </c>
      <c r="C11" s="4">
        <v>2012</v>
      </c>
      <c r="D11" s="3">
        <v>11</v>
      </c>
      <c r="E11" s="3">
        <v>44</v>
      </c>
      <c r="F11" s="3">
        <v>-1.3</v>
      </c>
      <c r="G11" s="3">
        <v>3.1240000000000001</v>
      </c>
      <c r="I11" s="3">
        <v>10</v>
      </c>
      <c r="J11" s="4" t="s">
        <v>34</v>
      </c>
      <c r="M11" s="1"/>
      <c r="N11" s="2"/>
      <c r="O11" s="1"/>
    </row>
    <row r="12" spans="1:15" s="3" customFormat="1">
      <c r="A12" s="3">
        <f t="shared" si="0"/>
        <v>5</v>
      </c>
      <c r="B12" s="3" t="s">
        <v>5</v>
      </c>
      <c r="C12" s="4">
        <v>2016</v>
      </c>
      <c r="D12" s="3">
        <v>3</v>
      </c>
      <c r="E12" s="3">
        <v>208</v>
      </c>
      <c r="F12" s="3">
        <v>13.3</v>
      </c>
      <c r="G12" s="3">
        <v>0.77</v>
      </c>
      <c r="I12" s="3">
        <v>11</v>
      </c>
      <c r="J12" s="4" t="s">
        <v>4</v>
      </c>
      <c r="M12" s="1"/>
      <c r="N12" s="2"/>
      <c r="O12" s="1"/>
    </row>
    <row r="13" spans="1:15" s="3" customFormat="1">
      <c r="A13" s="3">
        <f t="shared" si="0"/>
        <v>5</v>
      </c>
      <c r="C13" s="4">
        <v>2016</v>
      </c>
      <c r="D13" s="3">
        <v>9</v>
      </c>
      <c r="E13" s="3">
        <v>206</v>
      </c>
      <c r="F13" s="3">
        <v>9.6999999999999993</v>
      </c>
      <c r="G13" s="3">
        <v>0.70399999999999996</v>
      </c>
      <c r="I13" s="3">
        <v>12</v>
      </c>
      <c r="J13" s="4" t="s">
        <v>35</v>
      </c>
      <c r="M13" s="1"/>
      <c r="N13" s="2"/>
      <c r="O13" s="1"/>
    </row>
    <row r="14" spans="1:15" s="3" customFormat="1">
      <c r="A14" s="3">
        <f t="shared" si="0"/>
        <v>5</v>
      </c>
      <c r="C14" s="4">
        <v>2016</v>
      </c>
      <c r="D14" s="3">
        <v>7</v>
      </c>
      <c r="E14" s="3">
        <v>206</v>
      </c>
      <c r="F14" s="3">
        <v>11.2</v>
      </c>
      <c r="G14" s="3">
        <v>0.65500000000000003</v>
      </c>
      <c r="M14" s="1"/>
      <c r="N14" s="2"/>
      <c r="O14" s="1"/>
    </row>
    <row r="15" spans="1:15" s="3" customFormat="1">
      <c r="A15" s="3">
        <f t="shared" si="0"/>
        <v>6</v>
      </c>
      <c r="B15" s="3" t="s">
        <v>6</v>
      </c>
      <c r="C15" s="4">
        <v>2018</v>
      </c>
      <c r="D15" s="3">
        <v>6</v>
      </c>
      <c r="E15" s="3">
        <v>10</v>
      </c>
      <c r="F15" s="3">
        <v>8.1999999999999993</v>
      </c>
      <c r="G15" s="3">
        <v>1.992</v>
      </c>
      <c r="M15" s="1"/>
      <c r="N15" s="1"/>
      <c r="O15" s="1"/>
    </row>
    <row r="16" spans="1:15" s="3" customFormat="1">
      <c r="A16" s="3">
        <f t="shared" si="0"/>
        <v>6</v>
      </c>
      <c r="C16" s="4">
        <v>2018</v>
      </c>
      <c r="D16" s="3">
        <v>8</v>
      </c>
      <c r="E16" s="3">
        <v>10</v>
      </c>
      <c r="G16" s="3">
        <v>2.72</v>
      </c>
      <c r="M16" s="1"/>
      <c r="N16" s="1"/>
      <c r="O16" s="1"/>
    </row>
    <row r="17" spans="1:15" s="3" customFormat="1">
      <c r="A17" s="3">
        <f t="shared" si="0"/>
        <v>7</v>
      </c>
      <c r="B17" s="3" t="s">
        <v>7</v>
      </c>
      <c r="C17" s="4">
        <v>2014</v>
      </c>
      <c r="D17" s="3">
        <v>11</v>
      </c>
      <c r="E17" s="3">
        <v>11</v>
      </c>
      <c r="F17" s="3">
        <v>-0.9</v>
      </c>
      <c r="G17" s="3">
        <v>2.77</v>
      </c>
      <c r="M17" s="1"/>
      <c r="N17" s="2"/>
      <c r="O17" s="1"/>
    </row>
    <row r="18" spans="1:15" s="3" customFormat="1">
      <c r="A18" s="3">
        <f t="shared" si="0"/>
        <v>7</v>
      </c>
      <c r="C18" s="4">
        <v>2014</v>
      </c>
      <c r="D18" s="3">
        <v>7</v>
      </c>
      <c r="E18" s="3">
        <v>22</v>
      </c>
      <c r="G18" s="3">
        <v>1.5760000000000001</v>
      </c>
      <c r="M18" s="1"/>
      <c r="N18" s="2"/>
      <c r="O18" s="1"/>
    </row>
    <row r="19" spans="1:15" s="3" customFormat="1">
      <c r="A19" s="3">
        <f t="shared" si="0"/>
        <v>8</v>
      </c>
      <c r="B19" s="3" t="s">
        <v>8</v>
      </c>
      <c r="C19" s="4">
        <v>2020</v>
      </c>
      <c r="D19" s="3">
        <v>3</v>
      </c>
      <c r="E19" s="3">
        <v>33</v>
      </c>
      <c r="F19" s="3">
        <v>9.3000000000000007</v>
      </c>
      <c r="G19" s="3">
        <v>1.74</v>
      </c>
      <c r="M19" s="1"/>
      <c r="N19" s="2"/>
      <c r="O19" s="1"/>
    </row>
    <row r="20" spans="1:15" s="3" customFormat="1">
      <c r="A20" s="3">
        <f t="shared" si="0"/>
        <v>8</v>
      </c>
      <c r="C20" s="4">
        <v>2020</v>
      </c>
      <c r="D20" s="3">
        <v>10</v>
      </c>
      <c r="E20" s="3">
        <v>29</v>
      </c>
      <c r="F20" s="3">
        <v>6.4</v>
      </c>
      <c r="G20" s="3">
        <v>1.8560000000000001</v>
      </c>
      <c r="M20" s="1"/>
      <c r="N20" s="2"/>
      <c r="O20" s="1"/>
    </row>
    <row r="21" spans="1:15" s="3" customFormat="1">
      <c r="A21" s="3">
        <f t="shared" si="0"/>
        <v>9</v>
      </c>
      <c r="B21" s="3" t="s">
        <v>9</v>
      </c>
      <c r="C21" s="4">
        <v>2018</v>
      </c>
      <c r="D21" s="3">
        <v>6</v>
      </c>
      <c r="E21" s="3">
        <v>15</v>
      </c>
      <c r="F21" s="3">
        <v>2.1</v>
      </c>
      <c r="G21" s="3">
        <v>2.1429999999999998</v>
      </c>
      <c r="M21" s="1"/>
      <c r="N21" s="1"/>
      <c r="O21" s="1"/>
    </row>
    <row r="22" spans="1:15" s="3" customFormat="1">
      <c r="A22" s="3">
        <f t="shared" si="0"/>
        <v>9</v>
      </c>
      <c r="C22" s="4">
        <v>2018</v>
      </c>
      <c r="D22" s="3">
        <v>8</v>
      </c>
      <c r="E22" s="3">
        <v>12</v>
      </c>
      <c r="F22" s="3">
        <v>7.4</v>
      </c>
      <c r="G22" s="3">
        <v>3.0019999999999998</v>
      </c>
      <c r="M22" s="1"/>
      <c r="N22" s="2"/>
      <c r="O22" s="1"/>
    </row>
    <row r="23" spans="1:15" s="3" customFormat="1">
      <c r="A23" s="3">
        <f t="shared" si="0"/>
        <v>10</v>
      </c>
      <c r="B23" s="3" t="s">
        <v>10</v>
      </c>
      <c r="C23" s="4">
        <v>2019</v>
      </c>
      <c r="D23" s="3">
        <v>11</v>
      </c>
      <c r="E23" s="3">
        <v>77</v>
      </c>
      <c r="F23" s="3">
        <v>2.5</v>
      </c>
      <c r="G23" s="3">
        <v>1.0009999999999999</v>
      </c>
      <c r="M23" s="1"/>
      <c r="N23" s="2"/>
      <c r="O23" s="1"/>
    </row>
    <row r="24" spans="1:15" s="3" customFormat="1">
      <c r="A24" s="3">
        <f t="shared" si="0"/>
        <v>10</v>
      </c>
      <c r="C24" s="4">
        <v>2019</v>
      </c>
      <c r="D24" s="3">
        <v>7</v>
      </c>
      <c r="E24" s="3">
        <v>307</v>
      </c>
      <c r="F24" s="3">
        <v>7.8</v>
      </c>
      <c r="G24" s="3">
        <v>0.498</v>
      </c>
      <c r="M24" s="1"/>
      <c r="N24" s="2"/>
      <c r="O24" s="1"/>
    </row>
    <row r="25" spans="1:15" s="3" customFormat="1">
      <c r="A25" s="3">
        <f t="shared" si="0"/>
        <v>11</v>
      </c>
      <c r="B25" s="3" t="s">
        <v>11</v>
      </c>
      <c r="C25" s="4">
        <v>2010</v>
      </c>
      <c r="D25" s="3">
        <v>7</v>
      </c>
      <c r="E25" s="3">
        <v>204</v>
      </c>
      <c r="F25" s="3">
        <v>10.3</v>
      </c>
      <c r="G25" s="3">
        <v>0.63600000000000001</v>
      </c>
      <c r="M25" s="1"/>
      <c r="N25" s="2"/>
      <c r="O25" s="1"/>
    </row>
    <row r="26" spans="1:15" s="3" customFormat="1">
      <c r="A26" s="3">
        <f t="shared" si="0"/>
        <v>11</v>
      </c>
      <c r="C26" s="4">
        <v>2010</v>
      </c>
      <c r="D26" s="3">
        <v>12</v>
      </c>
      <c r="E26" s="3">
        <v>49</v>
      </c>
      <c r="F26" s="3">
        <v>-1.4</v>
      </c>
      <c r="G26" s="3">
        <v>2.0289999999999999</v>
      </c>
      <c r="M26" s="1"/>
      <c r="N26" s="2"/>
      <c r="O26" s="1"/>
    </row>
    <row r="27" spans="1:15" s="3" customFormat="1">
      <c r="A27" s="3">
        <f t="shared" si="0"/>
        <v>12</v>
      </c>
      <c r="B27" s="3" t="s">
        <v>12</v>
      </c>
      <c r="C27" s="4">
        <v>2015</v>
      </c>
      <c r="D27" s="3">
        <v>11</v>
      </c>
      <c r="E27" s="3">
        <v>72</v>
      </c>
      <c r="F27" s="3">
        <v>0.3</v>
      </c>
      <c r="G27" s="3">
        <v>1.47</v>
      </c>
      <c r="M27" s="1"/>
      <c r="N27" s="1"/>
      <c r="O27" s="1"/>
    </row>
    <row r="28" spans="1:15" s="3" customFormat="1">
      <c r="A28" s="3">
        <f>IF(B28="",A27,A27+1)</f>
        <v>12</v>
      </c>
      <c r="C28" s="4">
        <v>2015</v>
      </c>
      <c r="D28" s="3">
        <v>7</v>
      </c>
      <c r="E28" s="3">
        <v>75</v>
      </c>
      <c r="F28" s="3">
        <v>8.9</v>
      </c>
      <c r="G28" s="3">
        <v>0.89800000000000002</v>
      </c>
    </row>
    <row r="29" spans="1:15" s="3" customFormat="1">
      <c r="A29" s="3">
        <f t="shared" si="0"/>
        <v>13</v>
      </c>
      <c r="B29" s="3" t="s">
        <v>13</v>
      </c>
      <c r="C29" s="4">
        <v>2011</v>
      </c>
      <c r="D29" s="3">
        <v>11</v>
      </c>
      <c r="E29" s="3">
        <v>110</v>
      </c>
      <c r="F29" s="3">
        <v>0.9</v>
      </c>
      <c r="G29" s="3">
        <v>1.087</v>
      </c>
    </row>
    <row r="30" spans="1:15" s="3" customFormat="1">
      <c r="A30" s="3">
        <f t="shared" si="0"/>
        <v>13</v>
      </c>
      <c r="C30" s="4">
        <v>2011</v>
      </c>
      <c r="D30" s="3">
        <v>7</v>
      </c>
      <c r="E30" s="3">
        <v>115</v>
      </c>
      <c r="F30" s="3">
        <v>6.8</v>
      </c>
      <c r="G30" s="3">
        <v>0.77400000000000002</v>
      </c>
    </row>
    <row r="31" spans="1:15" s="3" customFormat="1">
      <c r="A31" s="3">
        <f t="shared" si="0"/>
        <v>14</v>
      </c>
      <c r="B31" s="3" t="s">
        <v>14</v>
      </c>
      <c r="C31" s="4">
        <v>2016</v>
      </c>
      <c r="D31" s="3">
        <v>7</v>
      </c>
      <c r="E31" s="3">
        <v>117</v>
      </c>
      <c r="F31" s="3">
        <v>7.44</v>
      </c>
      <c r="G31" s="3">
        <v>0.78200000000000003</v>
      </c>
    </row>
    <row r="32" spans="1:15" s="3" customFormat="1">
      <c r="A32" s="3">
        <f t="shared" si="0"/>
        <v>14</v>
      </c>
      <c r="C32" s="4">
        <v>2016</v>
      </c>
      <c r="D32" s="3">
        <v>8</v>
      </c>
      <c r="E32" s="3">
        <v>125</v>
      </c>
      <c r="F32" s="3">
        <v>6.8</v>
      </c>
      <c r="G32" s="3">
        <v>0.78</v>
      </c>
    </row>
    <row r="33" spans="1:7" s="3" customFormat="1">
      <c r="A33" s="3">
        <f t="shared" si="0"/>
        <v>15</v>
      </c>
      <c r="B33" s="3" t="s">
        <v>15</v>
      </c>
      <c r="C33" s="4">
        <v>2015</v>
      </c>
      <c r="D33" s="3">
        <v>11</v>
      </c>
      <c r="E33" s="3">
        <v>128</v>
      </c>
      <c r="F33" s="3">
        <v>1.8</v>
      </c>
      <c r="G33" s="3">
        <v>0.73099999999999998</v>
      </c>
    </row>
    <row r="34" spans="1:7" s="3" customFormat="1">
      <c r="A34" s="3">
        <f t="shared" si="0"/>
        <v>15</v>
      </c>
      <c r="C34" s="4">
        <v>2015</v>
      </c>
      <c r="D34" s="3">
        <v>7</v>
      </c>
      <c r="E34" s="3">
        <v>133</v>
      </c>
      <c r="F34" s="3">
        <v>6.6</v>
      </c>
      <c r="G34" s="3">
        <v>0.66600000000000004</v>
      </c>
    </row>
    <row r="35" spans="1:7" s="3" customFormat="1">
      <c r="A35" s="3">
        <f t="shared" si="0"/>
        <v>16</v>
      </c>
      <c r="B35" s="3" t="s">
        <v>16</v>
      </c>
      <c r="C35" s="4">
        <v>2022</v>
      </c>
      <c r="D35" s="3">
        <v>2</v>
      </c>
      <c r="E35" s="3">
        <v>315</v>
      </c>
      <c r="F35" s="3">
        <v>10.3</v>
      </c>
      <c r="G35" s="3">
        <v>0.52</v>
      </c>
    </row>
    <row r="36" spans="1:7" s="3" customFormat="1">
      <c r="A36" s="3">
        <f t="shared" si="0"/>
        <v>16</v>
      </c>
      <c r="C36" s="4">
        <v>2022</v>
      </c>
      <c r="D36" s="3">
        <v>5</v>
      </c>
      <c r="E36" s="3">
        <v>319</v>
      </c>
      <c r="F36" s="3">
        <v>10.8</v>
      </c>
      <c r="G36" s="3">
        <v>0.51</v>
      </c>
    </row>
    <row r="37" spans="1:7" s="3" customFormat="1">
      <c r="A37" s="3">
        <f t="shared" si="0"/>
        <v>16</v>
      </c>
      <c r="C37" s="4">
        <v>2022</v>
      </c>
      <c r="D37" s="3">
        <v>4</v>
      </c>
      <c r="E37" s="3">
        <v>317</v>
      </c>
      <c r="F37" s="3">
        <v>11.8</v>
      </c>
      <c r="G37" s="3">
        <v>0.52</v>
      </c>
    </row>
    <row r="38" spans="1:7" s="3" customFormat="1">
      <c r="A38" s="3">
        <f t="shared" si="0"/>
        <v>17</v>
      </c>
      <c r="B38" s="3" t="s">
        <v>17</v>
      </c>
      <c r="C38" s="4">
        <v>2016</v>
      </c>
      <c r="D38" s="3">
        <v>7</v>
      </c>
      <c r="E38" s="3">
        <v>20</v>
      </c>
      <c r="F38" s="3">
        <v>6.35</v>
      </c>
      <c r="G38" s="3">
        <v>2.1709999999999998</v>
      </c>
    </row>
    <row r="39" spans="1:7" s="3" customFormat="1">
      <c r="A39" s="3">
        <f t="shared" si="0"/>
        <v>17</v>
      </c>
      <c r="C39" s="4">
        <v>2016</v>
      </c>
      <c r="D39" s="3">
        <v>6</v>
      </c>
      <c r="E39" s="3">
        <v>10</v>
      </c>
      <c r="F39" s="3">
        <v>6.7</v>
      </c>
      <c r="G39" s="3">
        <v>3.6709999999999998</v>
      </c>
    </row>
    <row r="40" spans="1:7" s="3" customFormat="1">
      <c r="A40" s="3">
        <f t="shared" si="0"/>
        <v>18</v>
      </c>
      <c r="B40" s="3" t="s">
        <v>18</v>
      </c>
      <c r="C40" s="4">
        <v>2017</v>
      </c>
      <c r="D40" s="3">
        <v>6</v>
      </c>
      <c r="E40" s="3">
        <v>30</v>
      </c>
      <c r="F40" s="3">
        <v>8.6</v>
      </c>
      <c r="G40" s="3">
        <v>1.825</v>
      </c>
    </row>
    <row r="41" spans="1:7" s="3" customFormat="1">
      <c r="A41" s="3">
        <f t="shared" si="0"/>
        <v>18</v>
      </c>
      <c r="C41" s="4">
        <v>2017</v>
      </c>
      <c r="D41" s="3">
        <v>8</v>
      </c>
      <c r="E41" s="3">
        <v>60</v>
      </c>
      <c r="F41" s="3">
        <v>9.6</v>
      </c>
      <c r="G41" s="3">
        <v>1.29</v>
      </c>
    </row>
    <row r="42" spans="1:7" s="3" customFormat="1">
      <c r="A42" s="3">
        <f t="shared" si="0"/>
        <v>19</v>
      </c>
      <c r="B42" s="3" t="s">
        <v>19</v>
      </c>
      <c r="C42" s="4">
        <v>2014</v>
      </c>
      <c r="D42" s="3">
        <v>1</v>
      </c>
      <c r="E42" s="3">
        <v>154</v>
      </c>
      <c r="F42" s="3">
        <v>12.5</v>
      </c>
      <c r="G42" s="3">
        <v>0.76600000000000001</v>
      </c>
    </row>
    <row r="43" spans="1:7" s="3" customFormat="1">
      <c r="A43" s="3">
        <f t="shared" si="0"/>
        <v>19</v>
      </c>
      <c r="C43" s="4">
        <v>2014</v>
      </c>
      <c r="D43" s="3">
        <v>2</v>
      </c>
      <c r="E43" s="3">
        <v>151</v>
      </c>
      <c r="F43" s="3">
        <v>10.7</v>
      </c>
      <c r="G43" s="3">
        <v>0.66700000000000004</v>
      </c>
    </row>
    <row r="44" spans="1:7" s="3" customFormat="1">
      <c r="A44" s="3">
        <f t="shared" si="0"/>
        <v>19</v>
      </c>
      <c r="C44" s="4">
        <v>2014</v>
      </c>
      <c r="D44" s="3">
        <v>11</v>
      </c>
      <c r="E44" s="3">
        <v>154</v>
      </c>
      <c r="F44" s="3">
        <v>0.2</v>
      </c>
      <c r="G44" s="3">
        <v>1.0069999999999999</v>
      </c>
    </row>
    <row r="45" spans="1:7" s="3" customFormat="1">
      <c r="A45" s="3">
        <f t="shared" si="0"/>
        <v>20</v>
      </c>
      <c r="B45" s="3" t="s">
        <v>20</v>
      </c>
      <c r="C45" s="4">
        <v>2014</v>
      </c>
      <c r="D45" s="3">
        <v>1</v>
      </c>
      <c r="E45" s="3">
        <v>136</v>
      </c>
      <c r="F45" s="3">
        <v>10.5</v>
      </c>
      <c r="G45" s="3">
        <v>0.81499999999999995</v>
      </c>
    </row>
    <row r="46" spans="1:7" s="3" customFormat="1">
      <c r="A46" s="3">
        <f t="shared" si="0"/>
        <v>20</v>
      </c>
      <c r="C46" s="4">
        <v>2014</v>
      </c>
      <c r="D46" s="3">
        <v>2</v>
      </c>
      <c r="E46" s="3">
        <v>135</v>
      </c>
      <c r="F46" s="3">
        <v>10.7</v>
      </c>
      <c r="G46" s="3">
        <v>0.8</v>
      </c>
    </row>
    <row r="47" spans="1:7" s="3" customFormat="1">
      <c r="A47" s="3">
        <f t="shared" si="0"/>
        <v>20</v>
      </c>
      <c r="C47" s="4">
        <v>2014</v>
      </c>
      <c r="D47" s="3">
        <v>11</v>
      </c>
      <c r="E47" s="3">
        <v>132</v>
      </c>
      <c r="F47" s="3">
        <v>1.2</v>
      </c>
      <c r="G47" s="3">
        <v>0.92300000000000004</v>
      </c>
    </row>
    <row r="48" spans="1:7" s="3" customFormat="1">
      <c r="A48" s="3">
        <f t="shared" si="0"/>
        <v>21</v>
      </c>
      <c r="B48" s="3" t="s">
        <v>21</v>
      </c>
      <c r="C48" s="4">
        <v>2020</v>
      </c>
      <c r="D48" s="3">
        <v>1</v>
      </c>
      <c r="E48" s="3">
        <v>127</v>
      </c>
      <c r="F48" s="3">
        <v>13.6</v>
      </c>
      <c r="G48" s="3">
        <v>0.9</v>
      </c>
    </row>
    <row r="49" spans="1:7" s="3" customFormat="1">
      <c r="A49" s="3">
        <f t="shared" si="0"/>
        <v>21</v>
      </c>
      <c r="C49" s="4">
        <v>2020</v>
      </c>
      <c r="D49" s="3">
        <v>2</v>
      </c>
      <c r="E49" s="3">
        <v>127</v>
      </c>
      <c r="F49" s="3">
        <v>13.1</v>
      </c>
    </row>
    <row r="50" spans="1:7" s="3" customFormat="1">
      <c r="A50" s="3">
        <f t="shared" si="0"/>
        <v>21</v>
      </c>
      <c r="C50" s="4">
        <v>2020</v>
      </c>
      <c r="D50" s="3">
        <v>11</v>
      </c>
      <c r="E50" s="3">
        <v>124</v>
      </c>
      <c r="F50" s="3">
        <v>-0.5</v>
      </c>
      <c r="G50" s="3">
        <v>1.4</v>
      </c>
    </row>
    <row r="51" spans="1:7" s="3" customFormat="1">
      <c r="A51" s="3">
        <f t="shared" si="0"/>
        <v>22</v>
      </c>
      <c r="B51" s="3" t="s">
        <v>22</v>
      </c>
      <c r="C51" s="4">
        <v>2022</v>
      </c>
      <c r="D51" s="3">
        <v>2</v>
      </c>
      <c r="E51" s="3">
        <v>276</v>
      </c>
      <c r="F51" s="3">
        <v>10.9</v>
      </c>
      <c r="G51" s="3">
        <v>0.56000000000000005</v>
      </c>
    </row>
    <row r="52" spans="1:7" s="3" customFormat="1">
      <c r="A52" s="3">
        <f t="shared" si="0"/>
        <v>22</v>
      </c>
      <c r="C52" s="4">
        <v>2022</v>
      </c>
      <c r="D52" s="3">
        <v>5</v>
      </c>
      <c r="E52" s="3">
        <v>276</v>
      </c>
      <c r="F52" s="3">
        <v>11.6</v>
      </c>
      <c r="G52" s="3">
        <v>0.56000000000000005</v>
      </c>
    </row>
    <row r="53" spans="1:7" s="3" customFormat="1">
      <c r="A53" s="3">
        <f>IF(B53="",A52,A52+1)</f>
        <v>22</v>
      </c>
      <c r="C53" s="4">
        <v>2022</v>
      </c>
      <c r="D53" s="3">
        <v>4</v>
      </c>
      <c r="E53" s="3">
        <v>271</v>
      </c>
      <c r="F53" s="3">
        <v>10.7</v>
      </c>
      <c r="G53" s="3">
        <v>0.56000000000000005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2026-01-26T18:06:08Z</dcterms:created>
  <dcterms:modified xsi:type="dcterms:W3CDTF">2026-01-26T18:51:32Z</dcterms:modified>
</cp:coreProperties>
</file>