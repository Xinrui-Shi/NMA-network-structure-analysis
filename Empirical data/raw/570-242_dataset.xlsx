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graph analysis/Data Extraction/XS/Third Sample/"/>
    </mc:Choice>
  </mc:AlternateContent>
  <xr:revisionPtr revIDLastSave="0" documentId="8_{7879D8E3-92F7-AD4B-8183-CB2F38BA98C1}" xr6:coauthVersionLast="47" xr6:coauthVersionMax="47" xr10:uidLastSave="{00000000-0000-0000-0000-000000000000}"/>
  <bookViews>
    <workbookView xWindow="0" yWindow="740" windowWidth="30240" windowHeight="18900" xr2:uid="{9EEF5BAD-C495-5242-AACB-7559658F3E20}"/>
  </bookViews>
  <sheets>
    <sheet name="Sheet1" sheetId="1" r:id="rId1"/>
  </sheets>
  <definedNames>
    <definedName name="_xlnm._FilterDatabase" localSheetId="0" hidden="1">Sheet1!$B$1:$E$102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" l="1"/>
  <c r="C63" i="1"/>
  <c r="C64" i="1" s="1"/>
  <c r="C65" i="1"/>
  <c r="C66" i="1" s="1"/>
  <c r="C67" i="1"/>
  <c r="C68" i="1" s="1"/>
  <c r="C69" i="1" s="1"/>
  <c r="C70" i="1"/>
  <c r="C71" i="1" s="1"/>
  <c r="C72" i="1"/>
  <c r="C73" i="1"/>
  <c r="C74" i="1"/>
  <c r="C75" i="1"/>
  <c r="C76" i="1"/>
  <c r="C77" i="1"/>
  <c r="C78" i="1"/>
  <c r="C79" i="1"/>
  <c r="C80" i="1"/>
  <c r="C81" i="1" s="1"/>
  <c r="C82" i="1"/>
  <c r="C83" i="1"/>
  <c r="C84" i="1"/>
  <c r="C85" i="1"/>
  <c r="C86" i="1"/>
  <c r="C87" i="1"/>
  <c r="C88" i="1"/>
  <c r="C89" i="1"/>
  <c r="C90" i="1"/>
  <c r="C91" i="1" s="1"/>
  <c r="C92" i="1" s="1"/>
  <c r="C93" i="1"/>
  <c r="C94" i="1" s="1"/>
  <c r="C95" i="1"/>
  <c r="C96" i="1"/>
  <c r="C97" i="1"/>
  <c r="C98" i="1"/>
  <c r="C99" i="1"/>
  <c r="C100" i="1"/>
  <c r="C101" i="1"/>
  <c r="C102" i="1" s="1"/>
  <c r="C29" i="1"/>
  <c r="C30" i="1"/>
  <c r="C31" i="1" s="1"/>
  <c r="C32" i="1"/>
  <c r="C33" i="1"/>
  <c r="C34" i="1"/>
  <c r="C35" i="1"/>
  <c r="C36" i="1"/>
  <c r="C37" i="1"/>
  <c r="C38" i="1"/>
  <c r="C39" i="1" s="1"/>
  <c r="C40" i="1"/>
  <c r="C41" i="1" s="1"/>
  <c r="C42" i="1" s="1"/>
  <c r="C43" i="1"/>
  <c r="C44" i="1"/>
  <c r="C45" i="1"/>
  <c r="C46" i="1" s="1"/>
  <c r="C47" i="1" s="1"/>
  <c r="C48" i="1"/>
  <c r="C49" i="1" s="1"/>
  <c r="C50" i="1"/>
  <c r="C51" i="1" s="1"/>
  <c r="C52" i="1"/>
  <c r="C53" i="1"/>
  <c r="C54" i="1"/>
  <c r="C55" i="1"/>
  <c r="C56" i="1" s="1"/>
  <c r="C57" i="1"/>
  <c r="C58" i="1" s="1"/>
  <c r="C59" i="1"/>
  <c r="C60" i="1"/>
  <c r="C61" i="1"/>
  <c r="C4" i="1"/>
  <c r="C5" i="1" s="1"/>
  <c r="C6" i="1"/>
  <c r="C7" i="1"/>
  <c r="C8" i="1"/>
  <c r="C9" i="1" s="1"/>
  <c r="C10" i="1" s="1"/>
  <c r="C11" i="1"/>
  <c r="C12" i="1" s="1"/>
  <c r="C13" i="1" s="1"/>
  <c r="C14" i="1"/>
  <c r="C15" i="1" s="1"/>
  <c r="C16" i="1" s="1"/>
  <c r="C17" i="1"/>
  <c r="C18" i="1"/>
  <c r="C19" i="1"/>
  <c r="C20" i="1"/>
  <c r="C21" i="1"/>
  <c r="C22" i="1"/>
  <c r="C23" i="1" s="1"/>
  <c r="C24" i="1"/>
  <c r="C25" i="1" s="1"/>
  <c r="C26" i="1"/>
  <c r="C27" i="1"/>
  <c r="C28" i="1"/>
  <c r="C3" i="1"/>
  <c r="C2" i="1"/>
  <c r="E101" i="1"/>
  <c r="E99" i="1"/>
  <c r="E95" i="1"/>
  <c r="E76" i="1"/>
  <c r="E14" i="1"/>
</calcChain>
</file>

<file path=xl/sharedStrings.xml><?xml version="1.0" encoding="utf-8"?>
<sst xmlns="http://schemas.openxmlformats.org/spreadsheetml/2006/main" count="130" uniqueCount="76">
  <si>
    <t>Placebo</t>
  </si>
  <si>
    <t/>
  </si>
  <si>
    <t>Eszopiclone</t>
  </si>
  <si>
    <t>Flurazepam</t>
  </si>
  <si>
    <t>Triazolam</t>
  </si>
  <si>
    <t>Oxazepam</t>
  </si>
  <si>
    <t>Zolpidem</t>
  </si>
  <si>
    <t>Daridorexant</t>
  </si>
  <si>
    <t>Flunitrazepam</t>
  </si>
  <si>
    <t>Zaleplon</t>
  </si>
  <si>
    <t>Ramelteon</t>
  </si>
  <si>
    <t>Survorexant</t>
  </si>
  <si>
    <t>Doxepin</t>
  </si>
  <si>
    <t>Quazepam</t>
  </si>
  <si>
    <t>Clonazepam</t>
  </si>
  <si>
    <t>Temazepam</t>
  </si>
  <si>
    <t>Valerian</t>
  </si>
  <si>
    <t>Diphenhydramine</t>
  </si>
  <si>
    <t>Zopiclone</t>
  </si>
  <si>
    <t>Tasimelteon</t>
  </si>
  <si>
    <t>Trimipramine</t>
  </si>
  <si>
    <t>Lormetazepam</t>
  </si>
  <si>
    <t>Suvorexant</t>
  </si>
  <si>
    <t>Tiagabine</t>
  </si>
  <si>
    <t>Drake, 2000a</t>
  </si>
  <si>
    <t>n</t>
    <phoneticPr fontId="3" type="noConversion"/>
  </si>
  <si>
    <t>t</t>
    <phoneticPr fontId="3" type="noConversion"/>
  </si>
  <si>
    <t>Buxton, 2017</t>
  </si>
  <si>
    <t>Bliwise, 1983</t>
  </si>
  <si>
    <t>Bliwise, 1984</t>
  </si>
  <si>
    <t>Dauvillier, 2020</t>
  </si>
  <si>
    <t>Declerck, 1992</t>
  </si>
  <si>
    <t>Drake, 2000b</t>
  </si>
  <si>
    <t>Erman, 2006</t>
  </si>
  <si>
    <t>Herring, 2012</t>
  </si>
  <si>
    <t>Herrmann, 1993</t>
  </si>
  <si>
    <t>Kohsaka, 2011</t>
  </si>
  <si>
    <t>Krystal, 2011</t>
  </si>
  <si>
    <t>Mamelak, 1984</t>
  </si>
  <si>
    <t>Mayer, 2009</t>
  </si>
  <si>
    <t>Mendels, 1983</t>
  </si>
  <si>
    <t>Mendelson, 1988</t>
  </si>
  <si>
    <t>Mendelson, 1990</t>
  </si>
  <si>
    <t>Mendelson, 1995</t>
  </si>
  <si>
    <t>Mitler, 1986</t>
  </si>
  <si>
    <t>Monti, 1994</t>
  </si>
  <si>
    <t>Monti, 1996</t>
  </si>
  <si>
    <t>Monti, 2000</t>
  </si>
  <si>
    <t>Morin, 2005</t>
  </si>
  <si>
    <t>Ozone, 2008</t>
  </si>
  <si>
    <t>Perlis, 2004</t>
  </si>
  <si>
    <t>Pinto, 2016</t>
  </si>
  <si>
    <t>Quadens, 1983</t>
  </si>
  <si>
    <t>Rajaratna, 2009</t>
  </si>
  <si>
    <t>Randall, 2012</t>
  </si>
  <si>
    <t>Riemann, 2002</t>
  </si>
  <si>
    <t>Roehrs, 2011</t>
  </si>
  <si>
    <t>Roehrs, 2012</t>
  </si>
  <si>
    <t>Roehrs, 2020</t>
  </si>
  <si>
    <t>Roth, 2007</t>
  </si>
  <si>
    <t>Roth, 2008</t>
  </si>
  <si>
    <t>Scharf, 1990b</t>
  </si>
  <si>
    <t>Sharma, 2019</t>
  </si>
  <si>
    <t>Stanner, 2010</t>
  </si>
  <si>
    <t>Terzano, 1992</t>
  </si>
  <si>
    <t>Tietz, 1981</t>
  </si>
  <si>
    <t>Walsh, 1998b</t>
  </si>
  <si>
    <t>Walsh, 2000b</t>
  </si>
  <si>
    <t>Walsh-JCSM, 2006</t>
  </si>
  <si>
    <t>Walsh-SM, 2006</t>
  </si>
  <si>
    <t>Zammit, 2007</t>
  </si>
  <si>
    <t>Zee, 2010</t>
  </si>
  <si>
    <t>Treatments</t>
    <phoneticPr fontId="3" type="noConversion"/>
  </si>
  <si>
    <t>StudyName</t>
    <phoneticPr fontId="3" type="noConversion"/>
  </si>
  <si>
    <t>StudyID</t>
    <phoneticPr fontId="3" type="noConversion"/>
  </si>
  <si>
    <t>Year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</si>
</sst>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Border="1">
      <alignment vertical="center"/>
    </xf>
    <xf numFmtId="0" fontId="2" fillId="0" borderId="0" xfId="0" applyFont="1" applyBorder="1" applyAlignment="1">
      <alignment vertical="center" wrapText="1"/>
    </xf>
    <xf numFmtId="0" fontId="0" fillId="0" borderId="0" xfId="0" applyNumberFormat="1" applyBorder="1">
      <alignment vertical="center"/>
    </xf>
    <xf numFmtId="0" fontId="0" fillId="0" borderId="0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FF93-67BD-CD48-A06A-3850983476F1}">
  <dimension ref="A1:H202"/>
  <sheetViews>
    <sheetView tabSelected="1" workbookViewId="0">
      <selection activeCell="F1" sqref="F1:F1048576"/>
    </sheetView>
  </sheetViews>
  <sheetFormatPr baseColWidth="10" defaultRowHeight="16"/>
  <cols>
    <col min="1" max="1" width="11.33203125" style="3" bestFit="1" customWidth="1"/>
    <col min="2" max="2" width="29.33203125" style="3" customWidth="1"/>
    <col min="3" max="3" width="14.1640625" customWidth="1"/>
    <col min="4" max="4" width="12.5" style="3" customWidth="1"/>
    <col min="5" max="16384" width="10.83203125" style="3"/>
  </cols>
  <sheetData>
    <row r="1" spans="1:8">
      <c r="A1" s="1" t="s">
        <v>74</v>
      </c>
      <c r="B1" s="1" t="s">
        <v>73</v>
      </c>
      <c r="C1" s="3" t="s">
        <v>75</v>
      </c>
      <c r="D1" s="1" t="s">
        <v>26</v>
      </c>
      <c r="E1" s="2" t="s">
        <v>25</v>
      </c>
      <c r="G1" s="3" t="s">
        <v>72</v>
      </c>
    </row>
    <row r="2" spans="1:8">
      <c r="A2" s="4">
        <v>1</v>
      </c>
      <c r="B2" s="1" t="s">
        <v>27</v>
      </c>
      <c r="C2" s="3">
        <f>IF(B2="","",--MID(B2,FIND(",",B2)+2,4))</f>
        <v>2017</v>
      </c>
      <c r="D2" s="1">
        <v>5</v>
      </c>
      <c r="E2" s="5">
        <v>10</v>
      </c>
      <c r="G2" s="3">
        <v>1</v>
      </c>
      <c r="H2" s="3" t="s">
        <v>14</v>
      </c>
    </row>
    <row r="3" spans="1:8">
      <c r="A3" s="4">
        <v>1</v>
      </c>
      <c r="B3" s="1" t="s">
        <v>1</v>
      </c>
      <c r="C3" s="3">
        <f>IF(B3="",C2,--MID(B3,FIND(",",B3)+2,4))</f>
        <v>2017</v>
      </c>
      <c r="D3" s="1">
        <v>10</v>
      </c>
      <c r="E3" s="5">
        <v>10</v>
      </c>
      <c r="G3" s="3">
        <v>2</v>
      </c>
      <c r="H3" s="3" t="s">
        <v>7</v>
      </c>
    </row>
    <row r="4" spans="1:8">
      <c r="A4" s="4">
        <v>2</v>
      </c>
      <c r="B4" s="1" t="s">
        <v>28</v>
      </c>
      <c r="C4" s="3">
        <f t="shared" ref="C4:C67" si="0">IF(B4="",C3,--MID(B4,FIND(",",B4)+2,4))</f>
        <v>1983</v>
      </c>
      <c r="D4" s="1">
        <v>7</v>
      </c>
      <c r="E4" s="5">
        <v>23</v>
      </c>
      <c r="G4" s="3">
        <v>3</v>
      </c>
      <c r="H4" s="3" t="s">
        <v>17</v>
      </c>
    </row>
    <row r="5" spans="1:8">
      <c r="A5" s="4">
        <v>2</v>
      </c>
      <c r="B5" s="1" t="s">
        <v>1</v>
      </c>
      <c r="C5" s="3">
        <f t="shared" si="0"/>
        <v>1983</v>
      </c>
      <c r="D5" s="1">
        <v>18</v>
      </c>
      <c r="E5" s="3">
        <v>23</v>
      </c>
      <c r="G5" s="3">
        <v>4</v>
      </c>
      <c r="H5" s="3" t="s">
        <v>12</v>
      </c>
    </row>
    <row r="6" spans="1:8">
      <c r="A6" s="4">
        <v>3</v>
      </c>
      <c r="B6" s="1" t="s">
        <v>29</v>
      </c>
      <c r="C6" s="3">
        <f t="shared" si="0"/>
        <v>1984</v>
      </c>
      <c r="D6" s="1">
        <v>7</v>
      </c>
      <c r="E6" s="5">
        <v>7</v>
      </c>
      <c r="G6" s="3">
        <v>5</v>
      </c>
      <c r="H6" s="3" t="s">
        <v>2</v>
      </c>
    </row>
    <row r="7" spans="1:8">
      <c r="A7" s="4">
        <v>3</v>
      </c>
      <c r="B7" s="1" t="s">
        <v>1</v>
      </c>
      <c r="C7" s="3">
        <f t="shared" si="0"/>
        <v>1984</v>
      </c>
      <c r="D7" s="1">
        <v>9</v>
      </c>
      <c r="E7" s="5">
        <v>7</v>
      </c>
      <c r="G7" s="3">
        <v>6</v>
      </c>
      <c r="H7" s="3" t="s">
        <v>8</v>
      </c>
    </row>
    <row r="8" spans="1:8" ht="16" customHeight="1">
      <c r="A8" s="4">
        <v>4</v>
      </c>
      <c r="B8" s="1" t="s">
        <v>30</v>
      </c>
      <c r="C8" s="3">
        <f t="shared" si="0"/>
        <v>2020</v>
      </c>
      <c r="D8" s="1">
        <v>22</v>
      </c>
      <c r="E8" s="5">
        <v>60</v>
      </c>
      <c r="G8" s="3">
        <v>7</v>
      </c>
      <c r="H8" s="3" t="s">
        <v>3</v>
      </c>
    </row>
    <row r="9" spans="1:8">
      <c r="A9" s="4">
        <v>4</v>
      </c>
      <c r="B9" s="1" t="s">
        <v>1</v>
      </c>
      <c r="C9" s="3">
        <f t="shared" si="0"/>
        <v>2020</v>
      </c>
      <c r="D9" s="1">
        <v>2</v>
      </c>
      <c r="E9" s="5">
        <v>239</v>
      </c>
      <c r="G9" s="3">
        <v>8</v>
      </c>
      <c r="H9" s="3" t="s">
        <v>21</v>
      </c>
    </row>
    <row r="10" spans="1:8">
      <c r="A10" s="4">
        <v>4</v>
      </c>
      <c r="B10" s="1" t="s">
        <v>1</v>
      </c>
      <c r="C10" s="3">
        <f t="shared" si="0"/>
        <v>2020</v>
      </c>
      <c r="D10" s="1">
        <v>10</v>
      </c>
      <c r="E10" s="5">
        <v>60</v>
      </c>
      <c r="G10" s="3">
        <v>9</v>
      </c>
      <c r="H10" s="3" t="s">
        <v>5</v>
      </c>
    </row>
    <row r="11" spans="1:8">
      <c r="A11" s="4">
        <v>5</v>
      </c>
      <c r="B11" s="1" t="s">
        <v>31</v>
      </c>
      <c r="C11" s="3">
        <f t="shared" si="0"/>
        <v>1992</v>
      </c>
      <c r="D11" s="1">
        <v>6</v>
      </c>
      <c r="E11" s="5">
        <v>18</v>
      </c>
      <c r="G11" s="3">
        <v>10</v>
      </c>
      <c r="H11" s="3" t="s">
        <v>0</v>
      </c>
    </row>
    <row r="12" spans="1:8">
      <c r="A12" s="4">
        <v>5</v>
      </c>
      <c r="B12" s="1" t="s">
        <v>1</v>
      </c>
      <c r="C12" s="3">
        <f t="shared" si="0"/>
        <v>1992</v>
      </c>
      <c r="D12" s="1">
        <v>22</v>
      </c>
      <c r="E12" s="5">
        <v>18</v>
      </c>
      <c r="G12" s="3">
        <v>11</v>
      </c>
      <c r="H12" s="3" t="s">
        <v>13</v>
      </c>
    </row>
    <row r="13" spans="1:8">
      <c r="A13" s="4">
        <v>5</v>
      </c>
      <c r="B13" s="1" t="s">
        <v>1</v>
      </c>
      <c r="C13" s="3">
        <f t="shared" si="0"/>
        <v>1992</v>
      </c>
      <c r="D13" s="1">
        <v>10</v>
      </c>
      <c r="E13" s="5">
        <v>18</v>
      </c>
      <c r="G13" s="3">
        <v>12</v>
      </c>
      <c r="H13" s="3" t="s">
        <v>10</v>
      </c>
    </row>
    <row r="14" spans="1:8">
      <c r="A14" s="4">
        <v>6</v>
      </c>
      <c r="B14" s="1" t="s">
        <v>24</v>
      </c>
      <c r="C14" s="3">
        <f t="shared" si="0"/>
        <v>2000</v>
      </c>
      <c r="D14" s="1">
        <v>21</v>
      </c>
      <c r="E14" s="5">
        <f>47*2</f>
        <v>94</v>
      </c>
      <c r="G14" s="3">
        <v>13</v>
      </c>
      <c r="H14" s="3" t="s">
        <v>11</v>
      </c>
    </row>
    <row r="15" spans="1:8">
      <c r="A15" s="4">
        <v>6</v>
      </c>
      <c r="B15" s="1" t="s">
        <v>1</v>
      </c>
      <c r="C15" s="3">
        <f t="shared" si="0"/>
        <v>2000</v>
      </c>
      <c r="D15" s="1">
        <v>18</v>
      </c>
      <c r="E15" s="3">
        <v>47</v>
      </c>
      <c r="G15" s="3">
        <v>14</v>
      </c>
      <c r="H15" s="3" t="s">
        <v>22</v>
      </c>
    </row>
    <row r="16" spans="1:8">
      <c r="A16" s="4">
        <v>6</v>
      </c>
      <c r="B16" s="1" t="s">
        <v>1</v>
      </c>
      <c r="C16" s="3">
        <f t="shared" si="0"/>
        <v>2000</v>
      </c>
      <c r="D16" s="1">
        <v>10</v>
      </c>
      <c r="E16" s="3">
        <v>47</v>
      </c>
      <c r="G16" s="3">
        <v>15</v>
      </c>
      <c r="H16" s="3" t="s">
        <v>19</v>
      </c>
    </row>
    <row r="17" spans="1:8">
      <c r="A17" s="4">
        <v>7</v>
      </c>
      <c r="B17" s="1" t="s">
        <v>32</v>
      </c>
      <c r="C17" s="3">
        <f t="shared" si="0"/>
        <v>2000</v>
      </c>
      <c r="D17" s="1">
        <v>21</v>
      </c>
      <c r="E17" s="5">
        <v>72</v>
      </c>
      <c r="G17" s="3">
        <v>16</v>
      </c>
      <c r="H17" s="3" t="s">
        <v>15</v>
      </c>
    </row>
    <row r="18" spans="1:8">
      <c r="A18" s="4">
        <v>7</v>
      </c>
      <c r="B18" s="1" t="s">
        <v>1</v>
      </c>
      <c r="C18" s="3">
        <f t="shared" si="0"/>
        <v>2000</v>
      </c>
      <c r="D18" s="1">
        <v>18</v>
      </c>
      <c r="E18" s="3">
        <v>36</v>
      </c>
      <c r="G18" s="3">
        <v>17</v>
      </c>
      <c r="H18" s="3" t="s">
        <v>23</v>
      </c>
    </row>
    <row r="19" spans="1:8">
      <c r="A19" s="4">
        <v>7</v>
      </c>
      <c r="B19" s="1" t="s">
        <v>1</v>
      </c>
      <c r="C19" s="3">
        <f t="shared" si="0"/>
        <v>2000</v>
      </c>
      <c r="D19" s="1">
        <v>10</v>
      </c>
      <c r="E19" s="3">
        <v>36</v>
      </c>
      <c r="G19" s="3">
        <v>18</v>
      </c>
      <c r="H19" s="3" t="s">
        <v>4</v>
      </c>
    </row>
    <row r="20" spans="1:8">
      <c r="A20" s="4">
        <v>8</v>
      </c>
      <c r="B20" s="1" t="s">
        <v>33</v>
      </c>
      <c r="C20" s="3">
        <f t="shared" si="0"/>
        <v>2006</v>
      </c>
      <c r="D20" s="1">
        <v>12</v>
      </c>
      <c r="E20" s="5">
        <v>103</v>
      </c>
      <c r="G20" s="3">
        <v>19</v>
      </c>
      <c r="H20" s="3" t="s">
        <v>20</v>
      </c>
    </row>
    <row r="21" spans="1:8">
      <c r="A21" s="4">
        <v>8</v>
      </c>
      <c r="B21" s="1" t="s">
        <v>1</v>
      </c>
      <c r="C21" s="3">
        <f t="shared" si="0"/>
        <v>2006</v>
      </c>
      <c r="D21" s="1">
        <v>10</v>
      </c>
      <c r="E21" s="3">
        <v>103</v>
      </c>
      <c r="G21" s="3">
        <v>20</v>
      </c>
      <c r="H21" s="3" t="s">
        <v>16</v>
      </c>
    </row>
    <row r="22" spans="1:8">
      <c r="A22" s="4">
        <v>9</v>
      </c>
      <c r="B22" s="1" t="s">
        <v>34</v>
      </c>
      <c r="C22" s="3">
        <f t="shared" si="0"/>
        <v>2012</v>
      </c>
      <c r="D22" s="1">
        <v>13</v>
      </c>
      <c r="E22" s="5">
        <v>249</v>
      </c>
      <c r="G22" s="3">
        <v>21</v>
      </c>
      <c r="H22" s="3" t="s">
        <v>9</v>
      </c>
    </row>
    <row r="23" spans="1:8">
      <c r="A23" s="4">
        <v>9</v>
      </c>
      <c r="B23" s="1" t="s">
        <v>1</v>
      </c>
      <c r="C23" s="3">
        <f t="shared" si="0"/>
        <v>2012</v>
      </c>
      <c r="D23" s="1">
        <v>10</v>
      </c>
      <c r="E23" s="3">
        <v>249</v>
      </c>
      <c r="G23" s="3">
        <v>22</v>
      </c>
      <c r="H23" s="3" t="s">
        <v>6</v>
      </c>
    </row>
    <row r="24" spans="1:8" ht="16" customHeight="1">
      <c r="A24" s="4">
        <v>10</v>
      </c>
      <c r="B24" s="1" t="s">
        <v>35</v>
      </c>
      <c r="C24" s="3">
        <f t="shared" si="0"/>
        <v>1993</v>
      </c>
      <c r="D24" s="1">
        <v>22</v>
      </c>
      <c r="E24" s="5">
        <v>11</v>
      </c>
      <c r="G24" s="3">
        <v>23</v>
      </c>
      <c r="H24" s="3" t="s">
        <v>18</v>
      </c>
    </row>
    <row r="25" spans="1:8">
      <c r="A25" s="4">
        <v>10</v>
      </c>
      <c r="B25" s="1" t="s">
        <v>1</v>
      </c>
      <c r="C25" s="3">
        <f t="shared" si="0"/>
        <v>1993</v>
      </c>
      <c r="D25" s="1">
        <v>10</v>
      </c>
      <c r="E25" s="5">
        <v>10</v>
      </c>
    </row>
    <row r="26" spans="1:8">
      <c r="A26" s="4">
        <v>11</v>
      </c>
      <c r="B26" s="1" t="s">
        <v>36</v>
      </c>
      <c r="C26" s="3">
        <f t="shared" si="0"/>
        <v>2011</v>
      </c>
      <c r="D26" s="1">
        <v>12</v>
      </c>
      <c r="E26" s="5">
        <v>65</v>
      </c>
    </row>
    <row r="27" spans="1:8">
      <c r="A27" s="4">
        <v>11</v>
      </c>
      <c r="B27" s="1" t="s">
        <v>1</v>
      </c>
      <c r="C27" s="3">
        <f t="shared" si="0"/>
        <v>2011</v>
      </c>
      <c r="D27" s="1">
        <v>10</v>
      </c>
      <c r="E27" s="3">
        <v>65</v>
      </c>
    </row>
    <row r="28" spans="1:8">
      <c r="A28" s="4">
        <v>12</v>
      </c>
      <c r="B28" s="1" t="s">
        <v>37</v>
      </c>
      <c r="C28" s="3">
        <f t="shared" si="0"/>
        <v>2011</v>
      </c>
      <c r="D28" s="1">
        <v>4</v>
      </c>
      <c r="E28" s="5">
        <v>148</v>
      </c>
    </row>
    <row r="29" spans="1:8">
      <c r="A29" s="4">
        <v>12</v>
      </c>
      <c r="B29" s="1" t="s">
        <v>1</v>
      </c>
      <c r="C29" s="3">
        <f t="shared" si="0"/>
        <v>2011</v>
      </c>
      <c r="D29" s="1">
        <v>10</v>
      </c>
      <c r="E29" s="5">
        <v>73</v>
      </c>
    </row>
    <row r="30" spans="1:8">
      <c r="A30" s="4">
        <v>13</v>
      </c>
      <c r="B30" s="1" t="s">
        <v>38</v>
      </c>
      <c r="C30" s="3">
        <f t="shared" si="0"/>
        <v>1984</v>
      </c>
      <c r="D30" s="1">
        <v>11</v>
      </c>
      <c r="E30" s="5">
        <v>6</v>
      </c>
    </row>
    <row r="31" spans="1:8">
      <c r="A31" s="4">
        <v>13</v>
      </c>
      <c r="B31" s="1" t="s">
        <v>1</v>
      </c>
      <c r="C31" s="3">
        <f t="shared" si="0"/>
        <v>1984</v>
      </c>
      <c r="D31" s="1">
        <v>18</v>
      </c>
      <c r="E31" s="5">
        <v>6</v>
      </c>
    </row>
    <row r="32" spans="1:8">
      <c r="A32" s="4">
        <v>14</v>
      </c>
      <c r="B32" s="1" t="s">
        <v>39</v>
      </c>
      <c r="C32" s="3">
        <f t="shared" si="0"/>
        <v>2009</v>
      </c>
      <c r="D32" s="1">
        <v>12</v>
      </c>
      <c r="E32" s="5">
        <v>227</v>
      </c>
    </row>
    <row r="33" spans="1:5">
      <c r="A33" s="4">
        <v>14</v>
      </c>
      <c r="B33" s="1" t="s">
        <v>1</v>
      </c>
      <c r="C33" s="3">
        <f t="shared" si="0"/>
        <v>2009</v>
      </c>
      <c r="D33" s="1">
        <v>10</v>
      </c>
      <c r="E33" s="5">
        <v>224</v>
      </c>
    </row>
    <row r="34" spans="1:5">
      <c r="A34" s="4">
        <v>15</v>
      </c>
      <c r="B34" s="1" t="s">
        <v>40</v>
      </c>
      <c r="C34" s="3">
        <f t="shared" si="0"/>
        <v>1983</v>
      </c>
      <c r="D34" s="1">
        <v>11</v>
      </c>
      <c r="E34" s="5">
        <v>30</v>
      </c>
    </row>
    <row r="35" spans="1:5">
      <c r="A35" s="4">
        <v>15</v>
      </c>
      <c r="B35" s="1" t="s">
        <v>1</v>
      </c>
      <c r="C35" s="3">
        <f t="shared" si="0"/>
        <v>1983</v>
      </c>
      <c r="D35" s="1">
        <v>10</v>
      </c>
      <c r="E35" s="5">
        <v>30</v>
      </c>
    </row>
    <row r="36" spans="1:5">
      <c r="A36" s="4">
        <v>16</v>
      </c>
      <c r="B36" s="1" t="s">
        <v>41</v>
      </c>
      <c r="C36" s="3">
        <f t="shared" si="0"/>
        <v>1988</v>
      </c>
      <c r="D36" s="1">
        <v>7</v>
      </c>
      <c r="E36" s="5">
        <v>10</v>
      </c>
    </row>
    <row r="37" spans="1:5">
      <c r="A37" s="4">
        <v>16</v>
      </c>
      <c r="B37" s="1" t="s">
        <v>1</v>
      </c>
      <c r="C37" s="3">
        <f t="shared" si="0"/>
        <v>1988</v>
      </c>
      <c r="D37" s="1">
        <v>10</v>
      </c>
      <c r="E37" s="5">
        <v>10</v>
      </c>
    </row>
    <row r="38" spans="1:5">
      <c r="A38" s="4">
        <v>17</v>
      </c>
      <c r="B38" s="1" t="s">
        <v>42</v>
      </c>
      <c r="C38" s="3">
        <f t="shared" si="0"/>
        <v>1990</v>
      </c>
      <c r="D38" s="1">
        <v>18</v>
      </c>
      <c r="E38" s="5">
        <v>15</v>
      </c>
    </row>
    <row r="39" spans="1:5">
      <c r="A39" s="4">
        <v>17</v>
      </c>
      <c r="B39" s="1" t="s">
        <v>1</v>
      </c>
      <c r="C39" s="3">
        <f t="shared" si="0"/>
        <v>1990</v>
      </c>
      <c r="D39" s="1">
        <v>10</v>
      </c>
      <c r="E39" s="5">
        <v>15</v>
      </c>
    </row>
    <row r="40" spans="1:5">
      <c r="A40" s="4">
        <v>18</v>
      </c>
      <c r="B40" s="1" t="s">
        <v>43</v>
      </c>
      <c r="C40" s="3">
        <f t="shared" si="0"/>
        <v>1995</v>
      </c>
      <c r="D40" s="1">
        <v>7</v>
      </c>
      <c r="E40" s="5">
        <v>10</v>
      </c>
    </row>
    <row r="41" spans="1:5">
      <c r="A41" s="4">
        <v>18</v>
      </c>
      <c r="B41" s="1" t="s">
        <v>1</v>
      </c>
      <c r="C41" s="3">
        <f t="shared" si="0"/>
        <v>1995</v>
      </c>
      <c r="D41" s="1">
        <v>22</v>
      </c>
      <c r="E41" s="5">
        <v>10</v>
      </c>
    </row>
    <row r="42" spans="1:5">
      <c r="A42" s="4">
        <v>18</v>
      </c>
      <c r="B42" s="1" t="s">
        <v>1</v>
      </c>
      <c r="C42" s="3">
        <f t="shared" si="0"/>
        <v>1995</v>
      </c>
      <c r="D42" s="1">
        <v>10</v>
      </c>
      <c r="E42" s="5">
        <v>10</v>
      </c>
    </row>
    <row r="43" spans="1:5">
      <c r="A43" s="4">
        <v>19</v>
      </c>
      <c r="B43" s="1" t="s">
        <v>44</v>
      </c>
      <c r="C43" s="3">
        <f t="shared" si="0"/>
        <v>1986</v>
      </c>
      <c r="D43" s="1">
        <v>1</v>
      </c>
      <c r="E43" s="5">
        <v>10</v>
      </c>
    </row>
    <row r="44" spans="1:5">
      <c r="A44" s="4">
        <v>19</v>
      </c>
      <c r="B44" s="1" t="s">
        <v>1</v>
      </c>
      <c r="C44" s="3">
        <f t="shared" si="0"/>
        <v>1986</v>
      </c>
      <c r="D44" s="1">
        <v>16</v>
      </c>
      <c r="E44" s="5">
        <v>10</v>
      </c>
    </row>
    <row r="45" spans="1:5">
      <c r="A45" s="4">
        <v>20</v>
      </c>
      <c r="B45" s="1" t="s">
        <v>45</v>
      </c>
      <c r="C45" s="3">
        <f t="shared" si="0"/>
        <v>1994</v>
      </c>
      <c r="D45" s="1">
        <v>22</v>
      </c>
      <c r="E45" s="5">
        <v>8</v>
      </c>
    </row>
    <row r="46" spans="1:5">
      <c r="A46" s="4">
        <v>20</v>
      </c>
      <c r="B46" s="1" t="s">
        <v>1</v>
      </c>
      <c r="C46" s="3">
        <f t="shared" si="0"/>
        <v>1994</v>
      </c>
      <c r="D46" s="1">
        <v>18</v>
      </c>
      <c r="E46" s="5">
        <v>8</v>
      </c>
    </row>
    <row r="47" spans="1:5">
      <c r="A47" s="4">
        <v>20</v>
      </c>
      <c r="B47" s="1" t="s">
        <v>1</v>
      </c>
      <c r="C47" s="3">
        <f t="shared" si="0"/>
        <v>1994</v>
      </c>
      <c r="D47" s="1">
        <v>10</v>
      </c>
      <c r="E47" s="5">
        <v>8</v>
      </c>
    </row>
    <row r="48" spans="1:5">
      <c r="A48" s="4">
        <v>21</v>
      </c>
      <c r="B48" s="1" t="s">
        <v>46</v>
      </c>
      <c r="C48" s="3">
        <f t="shared" si="0"/>
        <v>1996</v>
      </c>
      <c r="D48" s="1">
        <v>22</v>
      </c>
      <c r="E48" s="5">
        <v>6</v>
      </c>
    </row>
    <row r="49" spans="1:5">
      <c r="A49" s="4">
        <v>21</v>
      </c>
      <c r="B49" s="1" t="s">
        <v>1</v>
      </c>
      <c r="C49" s="3">
        <f t="shared" si="0"/>
        <v>1996</v>
      </c>
      <c r="D49" s="1">
        <v>10</v>
      </c>
      <c r="E49" s="5">
        <v>6</v>
      </c>
    </row>
    <row r="50" spans="1:5">
      <c r="A50" s="4">
        <v>22</v>
      </c>
      <c r="B50" s="1" t="s">
        <v>47</v>
      </c>
      <c r="C50" s="3">
        <f t="shared" si="0"/>
        <v>2000</v>
      </c>
      <c r="D50" s="1">
        <v>22</v>
      </c>
      <c r="E50" s="5">
        <v>6</v>
      </c>
    </row>
    <row r="51" spans="1:5">
      <c r="A51" s="4">
        <v>22</v>
      </c>
      <c r="B51" s="1" t="s">
        <v>1</v>
      </c>
      <c r="C51" s="3">
        <f t="shared" si="0"/>
        <v>2000</v>
      </c>
      <c r="D51" s="1">
        <v>10</v>
      </c>
      <c r="E51" s="5">
        <v>6</v>
      </c>
    </row>
    <row r="52" spans="1:5">
      <c r="A52" s="4">
        <v>23</v>
      </c>
      <c r="B52" s="1" t="s">
        <v>48</v>
      </c>
      <c r="C52" s="3">
        <f t="shared" si="0"/>
        <v>2005</v>
      </c>
      <c r="D52" s="1">
        <v>20</v>
      </c>
      <c r="E52" s="5">
        <v>68</v>
      </c>
    </row>
    <row r="53" spans="1:5">
      <c r="A53" s="4">
        <v>23</v>
      </c>
      <c r="B53" s="1" t="s">
        <v>1</v>
      </c>
      <c r="C53" s="3">
        <f t="shared" si="0"/>
        <v>2005</v>
      </c>
      <c r="D53" s="1">
        <v>3</v>
      </c>
      <c r="E53" s="5">
        <v>72</v>
      </c>
    </row>
    <row r="54" spans="1:5">
      <c r="A54" s="4">
        <v>23</v>
      </c>
      <c r="B54" s="1" t="s">
        <v>1</v>
      </c>
      <c r="C54" s="3">
        <f t="shared" si="0"/>
        <v>2005</v>
      </c>
      <c r="D54" s="1">
        <v>10</v>
      </c>
      <c r="E54" s="5">
        <v>70</v>
      </c>
    </row>
    <row r="55" spans="1:5">
      <c r="A55" s="4">
        <v>24</v>
      </c>
      <c r="B55" s="1" t="s">
        <v>49</v>
      </c>
      <c r="C55" s="3">
        <f t="shared" si="0"/>
        <v>2008</v>
      </c>
      <c r="D55" s="1">
        <v>22</v>
      </c>
      <c r="E55" s="5">
        <v>17</v>
      </c>
    </row>
    <row r="56" spans="1:5">
      <c r="A56" s="4">
        <v>24</v>
      </c>
      <c r="B56" s="1" t="s">
        <v>1</v>
      </c>
      <c r="C56" s="3">
        <f t="shared" si="0"/>
        <v>2008</v>
      </c>
      <c r="D56" s="1">
        <v>10</v>
      </c>
      <c r="E56" s="3">
        <v>17</v>
      </c>
    </row>
    <row r="57" spans="1:5">
      <c r="A57" s="4">
        <v>25</v>
      </c>
      <c r="B57" s="1" t="s">
        <v>50</v>
      </c>
      <c r="C57" s="3">
        <f t="shared" si="0"/>
        <v>2004</v>
      </c>
      <c r="D57" s="1">
        <v>22</v>
      </c>
      <c r="E57" s="5">
        <v>95</v>
      </c>
    </row>
    <row r="58" spans="1:5">
      <c r="A58" s="4">
        <v>25</v>
      </c>
      <c r="B58" s="1" t="s">
        <v>1</v>
      </c>
      <c r="C58" s="3">
        <f t="shared" si="0"/>
        <v>2004</v>
      </c>
      <c r="D58" s="1">
        <v>10</v>
      </c>
      <c r="E58" s="5">
        <v>97</v>
      </c>
    </row>
    <row r="59" spans="1:5">
      <c r="A59" s="4">
        <v>26</v>
      </c>
      <c r="B59" s="1" t="s">
        <v>51</v>
      </c>
      <c r="C59" s="3">
        <f t="shared" si="0"/>
        <v>2016</v>
      </c>
      <c r="D59" s="1">
        <v>23</v>
      </c>
      <c r="E59" s="5">
        <v>97</v>
      </c>
    </row>
    <row r="60" spans="1:5">
      <c r="A60" s="4">
        <v>26</v>
      </c>
      <c r="B60" s="1" t="s">
        <v>1</v>
      </c>
      <c r="C60" s="3">
        <f t="shared" si="0"/>
        <v>2016</v>
      </c>
      <c r="D60" s="1">
        <v>5</v>
      </c>
      <c r="E60" s="5">
        <v>102</v>
      </c>
    </row>
    <row r="61" spans="1:5">
      <c r="A61" s="4">
        <v>27</v>
      </c>
      <c r="B61" s="1" t="s">
        <v>52</v>
      </c>
      <c r="C61" s="3">
        <f t="shared" si="0"/>
        <v>1983</v>
      </c>
      <c r="D61" s="1">
        <v>23</v>
      </c>
      <c r="E61" s="5">
        <v>12</v>
      </c>
    </row>
    <row r="62" spans="1:5">
      <c r="A62" s="4">
        <v>27</v>
      </c>
      <c r="B62" s="1" t="s">
        <v>1</v>
      </c>
      <c r="C62" s="3">
        <f>IF(B62="",C61,--MID(B62,FIND(",",B62)+2,4))</f>
        <v>1983</v>
      </c>
      <c r="D62" s="1">
        <v>7</v>
      </c>
      <c r="E62" s="5">
        <v>12</v>
      </c>
    </row>
    <row r="63" spans="1:5">
      <c r="A63" s="4">
        <v>28</v>
      </c>
      <c r="B63" s="1" t="s">
        <v>53</v>
      </c>
      <c r="C63" s="3">
        <f t="shared" si="0"/>
        <v>2009</v>
      </c>
      <c r="D63" s="1">
        <v>15</v>
      </c>
      <c r="E63" s="5">
        <v>308</v>
      </c>
    </row>
    <row r="64" spans="1:5">
      <c r="A64" s="4">
        <v>28</v>
      </c>
      <c r="B64" s="1" t="s">
        <v>1</v>
      </c>
      <c r="C64" s="3">
        <f t="shared" si="0"/>
        <v>2009</v>
      </c>
      <c r="D64" s="1">
        <v>10</v>
      </c>
      <c r="E64" s="5">
        <v>103</v>
      </c>
    </row>
    <row r="65" spans="1:5">
      <c r="A65" s="4">
        <v>29</v>
      </c>
      <c r="B65" s="1" t="s">
        <v>54</v>
      </c>
      <c r="C65" s="3">
        <f t="shared" si="0"/>
        <v>2012</v>
      </c>
      <c r="D65" s="1">
        <v>22</v>
      </c>
      <c r="E65" s="5">
        <v>44</v>
      </c>
    </row>
    <row r="66" spans="1:5">
      <c r="A66" s="4">
        <v>29</v>
      </c>
      <c r="B66" s="1" t="s">
        <v>1</v>
      </c>
      <c r="C66" s="3">
        <f t="shared" si="0"/>
        <v>2012</v>
      </c>
      <c r="D66" s="1">
        <v>10</v>
      </c>
      <c r="E66" s="5">
        <v>47</v>
      </c>
    </row>
    <row r="67" spans="1:5">
      <c r="A67" s="4">
        <v>30</v>
      </c>
      <c r="B67" s="1" t="s">
        <v>55</v>
      </c>
      <c r="C67" s="3">
        <f t="shared" si="0"/>
        <v>2002</v>
      </c>
      <c r="D67" s="1">
        <v>19</v>
      </c>
      <c r="E67" s="5">
        <v>19</v>
      </c>
    </row>
    <row r="68" spans="1:5">
      <c r="A68" s="4">
        <v>30</v>
      </c>
      <c r="B68" s="1" t="s">
        <v>1</v>
      </c>
      <c r="C68" s="3">
        <f t="shared" ref="C68:C102" si="1">IF(B68="",C67,--MID(B68,FIND(",",B68)+2,4))</f>
        <v>2002</v>
      </c>
      <c r="D68" s="1">
        <v>8</v>
      </c>
      <c r="E68" s="5">
        <v>18</v>
      </c>
    </row>
    <row r="69" spans="1:5">
      <c r="A69" s="4">
        <v>30</v>
      </c>
      <c r="B69" s="1" t="s">
        <v>1</v>
      </c>
      <c r="C69" s="3">
        <f t="shared" si="1"/>
        <v>2002</v>
      </c>
      <c r="D69" s="1">
        <v>10</v>
      </c>
      <c r="E69" s="5">
        <v>18</v>
      </c>
    </row>
    <row r="70" spans="1:5">
      <c r="A70" s="4">
        <v>31</v>
      </c>
      <c r="B70" s="1" t="s">
        <v>56</v>
      </c>
      <c r="C70" s="3">
        <f t="shared" si="1"/>
        <v>2011</v>
      </c>
      <c r="D70" s="1">
        <v>22</v>
      </c>
      <c r="E70" s="5">
        <v>50</v>
      </c>
    </row>
    <row r="71" spans="1:5">
      <c r="A71" s="4">
        <v>31</v>
      </c>
      <c r="B71" s="1" t="s">
        <v>1</v>
      </c>
      <c r="C71" s="3">
        <f t="shared" si="1"/>
        <v>2011</v>
      </c>
      <c r="D71" s="1">
        <v>10</v>
      </c>
      <c r="E71" s="5">
        <v>45</v>
      </c>
    </row>
    <row r="72" spans="1:5">
      <c r="A72" s="4">
        <v>32</v>
      </c>
      <c r="B72" s="1" t="s">
        <v>57</v>
      </c>
      <c r="C72" s="3">
        <f t="shared" si="1"/>
        <v>2012</v>
      </c>
      <c r="D72" s="1">
        <v>22</v>
      </c>
      <c r="E72" s="5">
        <v>17</v>
      </c>
    </row>
    <row r="73" spans="1:5">
      <c r="A73" s="4">
        <v>32</v>
      </c>
      <c r="B73" s="1" t="s">
        <v>1</v>
      </c>
      <c r="C73" s="3">
        <f t="shared" si="1"/>
        <v>2012</v>
      </c>
      <c r="D73" s="1">
        <v>10</v>
      </c>
      <c r="E73" s="5">
        <v>16</v>
      </c>
    </row>
    <row r="74" spans="1:5">
      <c r="A74" s="4">
        <v>33</v>
      </c>
      <c r="B74" s="1" t="s">
        <v>58</v>
      </c>
      <c r="C74" s="3">
        <f t="shared" si="1"/>
        <v>2020</v>
      </c>
      <c r="D74" s="1">
        <v>14</v>
      </c>
      <c r="E74" s="5">
        <v>10</v>
      </c>
    </row>
    <row r="75" spans="1:5">
      <c r="A75" s="4">
        <v>33</v>
      </c>
      <c r="B75" s="1" t="s">
        <v>1</v>
      </c>
      <c r="C75" s="3">
        <f t="shared" si="1"/>
        <v>2020</v>
      </c>
      <c r="D75" s="1">
        <v>10</v>
      </c>
      <c r="E75" s="5">
        <v>10</v>
      </c>
    </row>
    <row r="76" spans="1:5">
      <c r="A76" s="4">
        <v>34</v>
      </c>
      <c r="B76" s="1" t="s">
        <v>59</v>
      </c>
      <c r="C76" s="3">
        <f t="shared" si="1"/>
        <v>2007</v>
      </c>
      <c r="D76" s="1">
        <v>4</v>
      </c>
      <c r="E76" s="5">
        <f>3*67</f>
        <v>201</v>
      </c>
    </row>
    <row r="77" spans="1:5">
      <c r="A77" s="4">
        <v>34</v>
      </c>
      <c r="B77" s="1" t="s">
        <v>1</v>
      </c>
      <c r="C77" s="3">
        <f t="shared" si="1"/>
        <v>2007</v>
      </c>
      <c r="D77" s="1">
        <v>10</v>
      </c>
      <c r="E77" s="3">
        <v>67</v>
      </c>
    </row>
    <row r="78" spans="1:5">
      <c r="A78" s="4">
        <v>35</v>
      </c>
      <c r="B78" s="1" t="s">
        <v>60</v>
      </c>
      <c r="C78" s="3">
        <f t="shared" si="1"/>
        <v>2008</v>
      </c>
      <c r="D78" s="1">
        <v>22</v>
      </c>
      <c r="E78" s="5">
        <v>82</v>
      </c>
    </row>
    <row r="79" spans="1:5">
      <c r="A79" s="4">
        <v>35</v>
      </c>
      <c r="B79" s="1" t="s">
        <v>1</v>
      </c>
      <c r="C79" s="3">
        <f t="shared" si="1"/>
        <v>2008</v>
      </c>
      <c r="D79" s="1">
        <v>10</v>
      </c>
      <c r="E79" s="3">
        <v>82</v>
      </c>
    </row>
    <row r="80" spans="1:5">
      <c r="A80" s="4">
        <v>36</v>
      </c>
      <c r="B80" s="1" t="s">
        <v>61</v>
      </c>
      <c r="C80" s="3">
        <f t="shared" si="1"/>
        <v>1990</v>
      </c>
      <c r="D80" s="1">
        <v>16</v>
      </c>
      <c r="E80" s="5">
        <v>36</v>
      </c>
    </row>
    <row r="81" spans="1:5">
      <c r="A81" s="4">
        <v>36</v>
      </c>
      <c r="B81" s="1" t="s">
        <v>1</v>
      </c>
      <c r="C81" s="3">
        <f t="shared" si="1"/>
        <v>1990</v>
      </c>
      <c r="D81" s="1">
        <v>18</v>
      </c>
      <c r="E81" s="5">
        <v>14</v>
      </c>
    </row>
    <row r="82" spans="1:5">
      <c r="A82" s="4">
        <v>37</v>
      </c>
      <c r="B82" s="1" t="s">
        <v>62</v>
      </c>
      <c r="C82" s="3">
        <f t="shared" si="1"/>
        <v>2019</v>
      </c>
      <c r="D82" s="1">
        <v>22</v>
      </c>
      <c r="E82" s="5">
        <v>26</v>
      </c>
    </row>
    <row r="83" spans="1:5">
      <c r="A83" s="4">
        <v>37</v>
      </c>
      <c r="B83" s="1" t="s">
        <v>1</v>
      </c>
      <c r="C83" s="3">
        <f t="shared" si="1"/>
        <v>2019</v>
      </c>
      <c r="D83" s="1">
        <v>10</v>
      </c>
      <c r="E83" s="5">
        <v>26</v>
      </c>
    </row>
    <row r="84" spans="1:5">
      <c r="A84" s="4">
        <v>38</v>
      </c>
      <c r="B84" s="1" t="s">
        <v>63</v>
      </c>
      <c r="C84" s="3">
        <f t="shared" si="1"/>
        <v>2010</v>
      </c>
      <c r="D84" s="1">
        <v>22</v>
      </c>
      <c r="E84" s="5">
        <v>73</v>
      </c>
    </row>
    <row r="85" spans="1:5">
      <c r="A85" s="4">
        <v>38</v>
      </c>
      <c r="B85" s="1" t="s">
        <v>1</v>
      </c>
      <c r="C85" s="3">
        <f t="shared" si="1"/>
        <v>2010</v>
      </c>
      <c r="D85" s="1">
        <v>10</v>
      </c>
      <c r="E85" s="5">
        <v>73</v>
      </c>
    </row>
    <row r="86" spans="1:5" ht="16" customHeight="1">
      <c r="A86" s="4">
        <v>39</v>
      </c>
      <c r="B86" s="1" t="s">
        <v>64</v>
      </c>
      <c r="C86" s="3">
        <f t="shared" si="1"/>
        <v>1992</v>
      </c>
      <c r="D86" s="1">
        <v>22</v>
      </c>
      <c r="E86" s="5">
        <v>12</v>
      </c>
    </row>
    <row r="87" spans="1:5">
      <c r="A87" s="4">
        <v>39</v>
      </c>
      <c r="B87" s="1" t="s">
        <v>1</v>
      </c>
      <c r="C87" s="3">
        <f t="shared" si="1"/>
        <v>1992</v>
      </c>
      <c r="D87" s="1">
        <v>10</v>
      </c>
      <c r="E87" s="5">
        <v>12</v>
      </c>
    </row>
    <row r="88" spans="1:5">
      <c r="A88" s="4">
        <v>40</v>
      </c>
      <c r="B88" s="1" t="s">
        <v>65</v>
      </c>
      <c r="C88" s="3">
        <f t="shared" si="1"/>
        <v>1981</v>
      </c>
      <c r="D88" s="1">
        <v>11</v>
      </c>
      <c r="E88" s="5">
        <v>60</v>
      </c>
    </row>
    <row r="89" spans="1:5">
      <c r="A89" s="4">
        <v>40</v>
      </c>
      <c r="B89" s="1" t="s">
        <v>1</v>
      </c>
      <c r="C89" s="3">
        <f t="shared" si="1"/>
        <v>1981</v>
      </c>
      <c r="D89" s="1">
        <v>10</v>
      </c>
      <c r="E89" s="3">
        <v>15</v>
      </c>
    </row>
    <row r="90" spans="1:5">
      <c r="A90" s="4">
        <v>41</v>
      </c>
      <c r="B90" s="1" t="s">
        <v>66</v>
      </c>
      <c r="C90" s="3">
        <f t="shared" si="1"/>
        <v>1998</v>
      </c>
      <c r="D90" s="1">
        <v>21</v>
      </c>
      <c r="E90" s="5">
        <v>134</v>
      </c>
    </row>
    <row r="91" spans="1:5">
      <c r="A91" s="4">
        <v>41</v>
      </c>
      <c r="B91" s="1" t="s">
        <v>1</v>
      </c>
      <c r="C91" s="3">
        <f t="shared" si="1"/>
        <v>1998</v>
      </c>
      <c r="D91" s="1">
        <v>18</v>
      </c>
      <c r="E91" s="5">
        <v>31</v>
      </c>
    </row>
    <row r="92" spans="1:5">
      <c r="A92" s="4">
        <v>41</v>
      </c>
      <c r="B92" s="1" t="s">
        <v>1</v>
      </c>
      <c r="C92" s="3">
        <f t="shared" si="1"/>
        <v>1998</v>
      </c>
      <c r="D92" s="1">
        <v>10</v>
      </c>
      <c r="E92" s="5">
        <v>34</v>
      </c>
    </row>
    <row r="93" spans="1:5">
      <c r="A93" s="4">
        <v>42</v>
      </c>
      <c r="B93" s="1" t="s">
        <v>67</v>
      </c>
      <c r="C93" s="3">
        <f t="shared" si="1"/>
        <v>2000</v>
      </c>
      <c r="D93" s="1">
        <v>21</v>
      </c>
      <c r="E93" s="5">
        <v>56</v>
      </c>
    </row>
    <row r="94" spans="1:5">
      <c r="A94" s="4">
        <v>42</v>
      </c>
      <c r="B94" s="1" t="s">
        <v>1</v>
      </c>
      <c r="C94" s="3">
        <f t="shared" si="1"/>
        <v>2000</v>
      </c>
      <c r="D94" s="1">
        <v>10</v>
      </c>
      <c r="E94" s="5">
        <v>57</v>
      </c>
    </row>
    <row r="95" spans="1:5" ht="16" customHeight="1">
      <c r="A95" s="4">
        <v>43</v>
      </c>
      <c r="B95" s="1" t="s">
        <v>68</v>
      </c>
      <c r="C95" s="3">
        <f t="shared" si="1"/>
        <v>2006</v>
      </c>
      <c r="D95" s="1">
        <v>17</v>
      </c>
      <c r="E95" s="5">
        <f>183*4</f>
        <v>732</v>
      </c>
    </row>
    <row r="96" spans="1:5">
      <c r="A96" s="4">
        <v>43</v>
      </c>
      <c r="B96" s="1" t="s">
        <v>1</v>
      </c>
      <c r="C96" s="3">
        <f t="shared" si="1"/>
        <v>2006</v>
      </c>
      <c r="D96" s="1">
        <v>10</v>
      </c>
      <c r="E96" s="5">
        <v>47</v>
      </c>
    </row>
    <row r="97" spans="1:5" ht="16" customHeight="1">
      <c r="A97" s="4">
        <v>44</v>
      </c>
      <c r="B97" s="1" t="s">
        <v>69</v>
      </c>
      <c r="C97" s="3">
        <f t="shared" si="1"/>
        <v>2006</v>
      </c>
      <c r="D97" s="1">
        <v>17</v>
      </c>
      <c r="E97" s="5">
        <v>200</v>
      </c>
    </row>
    <row r="98" spans="1:5">
      <c r="A98" s="4">
        <v>44</v>
      </c>
      <c r="B98" s="1" t="s">
        <v>1</v>
      </c>
      <c r="C98" s="3">
        <f t="shared" si="1"/>
        <v>2006</v>
      </c>
      <c r="D98" s="1">
        <v>10</v>
      </c>
      <c r="E98" s="5">
        <v>50</v>
      </c>
    </row>
    <row r="99" spans="1:5">
      <c r="A99" s="4">
        <v>45</v>
      </c>
      <c r="B99" s="1" t="s">
        <v>70</v>
      </c>
      <c r="C99" s="3">
        <f t="shared" si="1"/>
        <v>2007</v>
      </c>
      <c r="D99" s="1">
        <v>12</v>
      </c>
      <c r="E99" s="5">
        <f>2*274</f>
        <v>548</v>
      </c>
    </row>
    <row r="100" spans="1:5">
      <c r="A100" s="4">
        <v>45</v>
      </c>
      <c r="B100" s="1" t="s">
        <v>1</v>
      </c>
      <c r="C100" s="3">
        <f t="shared" si="1"/>
        <v>2007</v>
      </c>
      <c r="D100" s="1">
        <v>10</v>
      </c>
      <c r="E100" s="5">
        <v>131</v>
      </c>
    </row>
    <row r="101" spans="1:5">
      <c r="A101" s="4">
        <v>46</v>
      </c>
      <c r="B101" s="1" t="s">
        <v>71</v>
      </c>
      <c r="C101" s="3">
        <f t="shared" si="1"/>
        <v>2010</v>
      </c>
      <c r="D101" s="1">
        <v>12</v>
      </c>
      <c r="E101" s="5">
        <f>3*81</f>
        <v>243</v>
      </c>
    </row>
    <row r="102" spans="1:5">
      <c r="A102" s="4">
        <v>46</v>
      </c>
      <c r="B102" s="1" t="s">
        <v>1</v>
      </c>
      <c r="C102" s="3">
        <f t="shared" si="1"/>
        <v>2010</v>
      </c>
      <c r="D102" s="1">
        <v>10</v>
      </c>
      <c r="E102" s="5">
        <v>29</v>
      </c>
    </row>
    <row r="103" spans="1:5">
      <c r="A103" s="6"/>
      <c r="C103" s="3"/>
    </row>
    <row r="104" spans="1:5">
      <c r="A104" s="6"/>
      <c r="C104" s="3"/>
    </row>
    <row r="105" spans="1:5">
      <c r="A105" s="6"/>
      <c r="C105" s="3"/>
    </row>
    <row r="106" spans="1:5">
      <c r="A106" s="6"/>
      <c r="C106" s="3"/>
    </row>
    <row r="107" spans="1:5">
      <c r="C107" s="3"/>
    </row>
    <row r="108" spans="1:5">
      <c r="C108" s="3"/>
    </row>
    <row r="109" spans="1:5">
      <c r="C109" s="3"/>
    </row>
    <row r="110" spans="1:5">
      <c r="C110" s="3"/>
    </row>
    <row r="111" spans="1:5">
      <c r="C111" s="3"/>
    </row>
    <row r="112" spans="1:5">
      <c r="C112" s="3"/>
    </row>
    <row r="113" spans="3:3">
      <c r="C113" s="3"/>
    </row>
    <row r="114" spans="3:3">
      <c r="C114" s="3"/>
    </row>
    <row r="115" spans="3:3">
      <c r="C115" s="3"/>
    </row>
    <row r="116" spans="3:3">
      <c r="C116" s="3"/>
    </row>
    <row r="117" spans="3:3">
      <c r="C117" s="3"/>
    </row>
    <row r="118" spans="3:3">
      <c r="C118" s="3"/>
    </row>
    <row r="119" spans="3:3">
      <c r="C119" s="3"/>
    </row>
    <row r="120" spans="3:3">
      <c r="C120" s="3"/>
    </row>
    <row r="121" spans="3:3">
      <c r="C121" s="3"/>
    </row>
    <row r="122" spans="3:3">
      <c r="C122" s="3"/>
    </row>
    <row r="123" spans="3:3">
      <c r="C123" s="3"/>
    </row>
    <row r="124" spans="3:3">
      <c r="C124" s="3"/>
    </row>
    <row r="125" spans="3:3">
      <c r="C125" s="3"/>
    </row>
    <row r="126" spans="3:3">
      <c r="C126" s="3"/>
    </row>
    <row r="127" spans="3:3">
      <c r="C127" s="3"/>
    </row>
    <row r="128" spans="3:3">
      <c r="C128" s="3"/>
    </row>
    <row r="129" spans="3:3">
      <c r="C129" s="3"/>
    </row>
    <row r="130" spans="3:3">
      <c r="C130" s="3"/>
    </row>
    <row r="131" spans="3:3">
      <c r="C131" s="3"/>
    </row>
    <row r="132" spans="3:3">
      <c r="C132" s="3"/>
    </row>
    <row r="133" spans="3:3">
      <c r="C133" s="3"/>
    </row>
    <row r="134" spans="3:3">
      <c r="C134" s="3"/>
    </row>
    <row r="135" spans="3:3">
      <c r="C135" s="3"/>
    </row>
    <row r="136" spans="3:3">
      <c r="C136" s="3"/>
    </row>
    <row r="137" spans="3:3">
      <c r="C137" s="3"/>
    </row>
    <row r="138" spans="3:3">
      <c r="C138" s="3"/>
    </row>
    <row r="139" spans="3:3">
      <c r="C139" s="3"/>
    </row>
    <row r="140" spans="3:3">
      <c r="C140" s="3"/>
    </row>
    <row r="141" spans="3:3">
      <c r="C141" s="3"/>
    </row>
    <row r="142" spans="3:3">
      <c r="C142" s="3"/>
    </row>
    <row r="143" spans="3:3">
      <c r="C143" s="3"/>
    </row>
    <row r="144" spans="3:3">
      <c r="C144" s="3"/>
    </row>
    <row r="145" spans="3:3">
      <c r="C145" s="3"/>
    </row>
    <row r="146" spans="3:3">
      <c r="C146" s="3"/>
    </row>
    <row r="147" spans="3:3">
      <c r="C147" s="3"/>
    </row>
    <row r="148" spans="3:3">
      <c r="C148" s="3"/>
    </row>
    <row r="149" spans="3:3">
      <c r="C149" s="3"/>
    </row>
    <row r="150" spans="3:3">
      <c r="C150" s="3"/>
    </row>
    <row r="151" spans="3:3">
      <c r="C151" s="3"/>
    </row>
    <row r="152" spans="3:3">
      <c r="C152" s="3"/>
    </row>
    <row r="153" spans="3:3">
      <c r="C153" s="3"/>
    </row>
    <row r="154" spans="3:3">
      <c r="C154" s="3"/>
    </row>
    <row r="155" spans="3:3">
      <c r="C155" s="3"/>
    </row>
    <row r="156" spans="3:3">
      <c r="C156" s="3"/>
    </row>
    <row r="157" spans="3:3">
      <c r="C157" s="3"/>
    </row>
    <row r="158" spans="3:3">
      <c r="C158" s="3"/>
    </row>
    <row r="159" spans="3:3">
      <c r="C159" s="3"/>
    </row>
    <row r="160" spans="3:3">
      <c r="C160" s="3"/>
    </row>
    <row r="161" spans="3:3">
      <c r="C161" s="3"/>
    </row>
    <row r="162" spans="3:3">
      <c r="C162" s="3"/>
    </row>
    <row r="163" spans="3:3">
      <c r="C163" s="3"/>
    </row>
    <row r="164" spans="3:3">
      <c r="C164" s="3"/>
    </row>
    <row r="165" spans="3:3">
      <c r="C165" s="3"/>
    </row>
    <row r="166" spans="3:3">
      <c r="C166" s="3"/>
    </row>
    <row r="167" spans="3:3">
      <c r="C167" s="3"/>
    </row>
    <row r="168" spans="3:3">
      <c r="C168" s="3"/>
    </row>
    <row r="169" spans="3:3">
      <c r="C169" s="3"/>
    </row>
    <row r="170" spans="3:3">
      <c r="C170" s="3"/>
    </row>
    <row r="171" spans="3:3">
      <c r="C171" s="3"/>
    </row>
    <row r="172" spans="3:3">
      <c r="C172" s="3"/>
    </row>
    <row r="173" spans="3:3">
      <c r="C173" s="3"/>
    </row>
    <row r="174" spans="3:3">
      <c r="C174" s="3"/>
    </row>
    <row r="175" spans="3:3">
      <c r="C175" s="3"/>
    </row>
    <row r="176" spans="3:3">
      <c r="C176" s="3"/>
    </row>
    <row r="177" spans="3:3">
      <c r="C177" s="3"/>
    </row>
    <row r="178" spans="3:3">
      <c r="C178" s="3"/>
    </row>
    <row r="179" spans="3:3">
      <c r="C179" s="3"/>
    </row>
    <row r="180" spans="3:3">
      <c r="C180" s="3"/>
    </row>
    <row r="181" spans="3:3">
      <c r="C181" s="3"/>
    </row>
    <row r="182" spans="3:3">
      <c r="C182" s="3"/>
    </row>
    <row r="183" spans="3:3">
      <c r="C183" s="3"/>
    </row>
    <row r="184" spans="3:3">
      <c r="C184" s="3"/>
    </row>
    <row r="185" spans="3:3">
      <c r="C185" s="3"/>
    </row>
    <row r="186" spans="3:3">
      <c r="C186" s="3"/>
    </row>
    <row r="187" spans="3:3">
      <c r="C187" s="3"/>
    </row>
    <row r="188" spans="3:3">
      <c r="C188" s="3"/>
    </row>
    <row r="189" spans="3:3">
      <c r="C189" s="3"/>
    </row>
    <row r="190" spans="3:3">
      <c r="C190" s="3"/>
    </row>
    <row r="191" spans="3:3">
      <c r="C191" s="3"/>
    </row>
    <row r="192" spans="3:3">
      <c r="C192" s="3"/>
    </row>
    <row r="193" spans="3:3">
      <c r="C193" s="3"/>
    </row>
    <row r="194" spans="3:3">
      <c r="C194" s="3"/>
    </row>
    <row r="195" spans="3:3">
      <c r="C195" s="3"/>
    </row>
    <row r="196" spans="3:3">
      <c r="C196" s="3"/>
    </row>
    <row r="197" spans="3:3">
      <c r="C197" s="3"/>
    </row>
    <row r="198" spans="3:3">
      <c r="C198" s="3"/>
    </row>
    <row r="199" spans="3:3">
      <c r="C199" s="3"/>
    </row>
    <row r="200" spans="3:3">
      <c r="C200" s="3"/>
    </row>
    <row r="201" spans="3:3">
      <c r="C201" s="3"/>
    </row>
    <row r="202" spans="3:3">
      <c r="C202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2026-01-26T11:24:46Z</dcterms:created>
  <dcterms:modified xsi:type="dcterms:W3CDTF">2026-01-26T12:24:03Z</dcterms:modified>
</cp:coreProperties>
</file>