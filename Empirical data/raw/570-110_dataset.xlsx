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8925DD8B-D40F-4B2E-B181-A9D4219C42C4}" xr6:coauthVersionLast="47" xr6:coauthVersionMax="47" xr10:uidLastSave="{00000000-0000-0000-0000-000000000000}"/>
  <bookViews>
    <workbookView xWindow="36045" yWindow="7065" windowWidth="22620" windowHeight="14685" xr2:uid="{D437D7FA-5A8F-4065-B011-4085BC1630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30" i="1"/>
  <c r="E34" i="1"/>
  <c r="E40" i="1"/>
  <c r="E41" i="1"/>
  <c r="E43" i="1"/>
  <c r="E11" i="1"/>
  <c r="E17" i="1"/>
  <c r="E21" i="1"/>
  <c r="E22" i="1"/>
  <c r="E24" i="1"/>
  <c r="D24" i="1"/>
  <c r="D25" i="1"/>
  <c r="D26" i="1"/>
  <c r="D28" i="1"/>
  <c r="D29" i="1"/>
  <c r="D30" i="1"/>
  <c r="D31" i="1"/>
  <c r="D34" i="1"/>
  <c r="D35" i="1"/>
  <c r="D36" i="1"/>
  <c r="D37" i="1"/>
  <c r="D38" i="1"/>
  <c r="D39" i="1"/>
  <c r="D40" i="1"/>
  <c r="D41" i="1"/>
  <c r="D42" i="1"/>
  <c r="D43" i="1"/>
  <c r="D10" i="1"/>
  <c r="D11" i="1"/>
  <c r="D12" i="1"/>
  <c r="D13" i="1"/>
  <c r="D15" i="1"/>
  <c r="D16" i="1"/>
  <c r="D17" i="1"/>
  <c r="D18" i="1"/>
  <c r="D19" i="1"/>
  <c r="D21" i="1"/>
  <c r="D22" i="1"/>
  <c r="D23" i="1"/>
  <c r="E6" i="1"/>
  <c r="E9" i="1"/>
  <c r="D6" i="1"/>
  <c r="D8" i="1"/>
  <c r="D9" i="1"/>
  <c r="D5" i="1"/>
  <c r="D4" i="1"/>
  <c r="E4" i="1"/>
  <c r="D2" i="1"/>
</calcChain>
</file>

<file path=xl/sharedStrings.xml><?xml version="1.0" encoding="utf-8"?>
<sst xmlns="http://schemas.openxmlformats.org/spreadsheetml/2006/main" count="259" uniqueCount="130">
  <si>
    <t>StudyName</t>
  </si>
  <si>
    <t>Year</t>
  </si>
  <si>
    <t>StudyID</t>
  </si>
  <si>
    <t>n1</t>
  </si>
  <si>
    <t>n2</t>
  </si>
  <si>
    <t>n3</t>
  </si>
  <si>
    <t>t1</t>
  </si>
  <si>
    <t>t2</t>
  </si>
  <si>
    <t>t3</t>
  </si>
  <si>
    <t>Male_n1</t>
  </si>
  <si>
    <t>Male_n2</t>
  </si>
  <si>
    <t>Male_n3</t>
  </si>
  <si>
    <t>Female_n1</t>
  </si>
  <si>
    <t>Female_n2</t>
  </si>
  <si>
    <t>Female_n3</t>
  </si>
  <si>
    <t>Ahsin</t>
  </si>
  <si>
    <t>2009 </t>
  </si>
  <si>
    <t>NA</t>
  </si>
  <si>
    <t>5 </t>
  </si>
  <si>
    <t>15 </t>
  </si>
  <si>
    <t>TA</t>
  </si>
  <si>
    <t>Barnard</t>
  </si>
  <si>
    <t>2020 </t>
  </si>
  <si>
    <t>NR</t>
  </si>
  <si>
    <t>NR </t>
  </si>
  <si>
    <t>SANA</t>
  </si>
  <si>
    <t>Brinkhaus</t>
  </si>
  <si>
    <t>2006 </t>
  </si>
  <si>
    <t>25 </t>
  </si>
  <si>
    <t>54 </t>
  </si>
  <si>
    <t>NPA</t>
  </si>
  <si>
    <t>Chen</t>
  </si>
  <si>
    <t>2013 </t>
  </si>
  <si>
    <t>52 </t>
  </si>
  <si>
    <t>57 </t>
  </si>
  <si>
    <t>2019 </t>
  </si>
  <si>
    <t>11 </t>
  </si>
  <si>
    <t>19 </t>
  </si>
  <si>
    <t>NPANA</t>
  </si>
  <si>
    <t>David</t>
  </si>
  <si>
    <t>1999 </t>
  </si>
  <si>
    <t>EA</t>
  </si>
  <si>
    <t>Endres</t>
  </si>
  <si>
    <t>2007 </t>
  </si>
  <si>
    <t>42 </t>
  </si>
  <si>
    <t>158 </t>
  </si>
  <si>
    <t>BC</t>
  </si>
  <si>
    <t>Foster</t>
  </si>
  <si>
    <t>37 </t>
  </si>
  <si>
    <t>79 </t>
  </si>
  <si>
    <t xml:space="preserve">SA  </t>
  </si>
  <si>
    <t>Guerra</t>
  </si>
  <si>
    <t>2004 </t>
  </si>
  <si>
    <t>16 </t>
  </si>
  <si>
    <t>49 </t>
  </si>
  <si>
    <t>Haake</t>
  </si>
  <si>
    <t>223 </t>
  </si>
  <si>
    <t>Inoue</t>
  </si>
  <si>
    <t>10 </t>
  </si>
  <si>
    <t>6 </t>
  </si>
  <si>
    <t>Jubb</t>
  </si>
  <si>
    <t>2008 </t>
  </si>
  <si>
    <t>26 </t>
  </si>
  <si>
    <t>Karatay</t>
  </si>
  <si>
    <t>2018 </t>
  </si>
  <si>
    <t>Karst</t>
  </si>
  <si>
    <t>2001 </t>
  </si>
  <si>
    <t>21 </t>
  </si>
  <si>
    <t>14 </t>
  </si>
  <si>
    <t>Lam</t>
  </si>
  <si>
    <t>2021 </t>
  </si>
  <si>
    <t>30 </t>
  </si>
  <si>
    <t>Lei</t>
  </si>
  <si>
    <t>2002 </t>
  </si>
  <si>
    <t>27 </t>
  </si>
  <si>
    <t>Liang</t>
  </si>
  <si>
    <t>2010 </t>
  </si>
  <si>
    <t>24 </t>
  </si>
  <si>
    <t>66 </t>
  </si>
  <si>
    <t>Lin</t>
  </si>
  <si>
    <t>1 </t>
  </si>
  <si>
    <t>20 </t>
  </si>
  <si>
    <t>Martin</t>
  </si>
  <si>
    <t>Mavrommatis</t>
  </si>
  <si>
    <t>2012 </t>
  </si>
  <si>
    <t>8 </t>
  </si>
  <si>
    <t>33 </t>
  </si>
  <si>
    <t>Melchart</t>
  </si>
  <si>
    <t>2005 </t>
  </si>
  <si>
    <t>58 </t>
  </si>
  <si>
    <t>Miller</t>
  </si>
  <si>
    <t>17 </t>
  </si>
  <si>
    <t>Molsberger</t>
  </si>
  <si>
    <t>28 </t>
  </si>
  <si>
    <t>32 </t>
  </si>
  <si>
    <t>Nabeta</t>
  </si>
  <si>
    <t>12 </t>
  </si>
  <si>
    <t>Shen</t>
  </si>
  <si>
    <t>0 </t>
  </si>
  <si>
    <t>Suarez</t>
  </si>
  <si>
    <t>Takeda</t>
  </si>
  <si>
    <t>1994 </t>
  </si>
  <si>
    <t>Tu</t>
  </si>
  <si>
    <t>45 </t>
  </si>
  <si>
    <t>106 </t>
  </si>
  <si>
    <t>Vas</t>
  </si>
  <si>
    <t>44 </t>
  </si>
  <si>
    <t>2016 </t>
  </si>
  <si>
    <t>White</t>
  </si>
  <si>
    <t>Yu</t>
  </si>
  <si>
    <t>Zanette</t>
  </si>
  <si>
    <t>3 </t>
  </si>
  <si>
    <t>Cao</t>
  </si>
  <si>
    <t>LZH</t>
  </si>
  <si>
    <t>39 </t>
  </si>
  <si>
    <t>53 </t>
  </si>
  <si>
    <t>Wang</t>
  </si>
  <si>
    <t>22 </t>
  </si>
  <si>
    <t>38 </t>
  </si>
  <si>
    <t>m</t>
  </si>
  <si>
    <t>18 </t>
  </si>
  <si>
    <t>Xu</t>
  </si>
  <si>
    <t>2014 </t>
  </si>
  <si>
    <t>84 </t>
  </si>
  <si>
    <t>182 </t>
  </si>
  <si>
    <t>2015 </t>
  </si>
  <si>
    <t>7 </t>
  </si>
  <si>
    <t>23 </t>
  </si>
  <si>
    <t>Yuan</t>
  </si>
  <si>
    <t>34 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</si>
</sst>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10.5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2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78B6-FE9C-4556-8562-0F73F2D070C6}">
  <dimension ref="A1:R43"/>
  <sheetViews>
    <sheetView tabSelected="1" workbookViewId="0">
      <selection activeCell="Q18" sqref="Q18"/>
    </sheetView>
  </sheetViews>
  <sheetFormatPr defaultColWidth="8.7109375" defaultRowHeight="14.45"/>
  <cols>
    <col min="1" max="1" width="10.5703125" style="1" customWidth="1"/>
    <col min="2" max="5" width="8.7109375" style="1"/>
    <col min="6" max="6" width="8.7109375" style="2"/>
    <col min="7" max="11" width="8.7109375" style="1"/>
    <col min="12" max="12" width="8.7109375" style="3"/>
    <col min="13" max="14" width="8.7109375" style="1"/>
    <col min="15" max="15" width="8.7109375" style="3"/>
    <col min="16" max="16384" width="8.7109375" style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7" t="s">
        <v>11</v>
      </c>
      <c r="M1" s="4" t="s">
        <v>12</v>
      </c>
      <c r="N1" s="4" t="s">
        <v>13</v>
      </c>
      <c r="O1" s="7" t="s">
        <v>14</v>
      </c>
    </row>
    <row r="2" spans="1:18">
      <c r="A2" s="4" t="s">
        <v>15</v>
      </c>
      <c r="B2" s="4" t="s">
        <v>16</v>
      </c>
      <c r="C2" s="4">
        <v>1</v>
      </c>
      <c r="D2" s="8">
        <f>J2+M2</f>
        <v>20</v>
      </c>
      <c r="E2" s="8">
        <v>20</v>
      </c>
      <c r="F2" s="9" t="s">
        <v>17</v>
      </c>
      <c r="G2" s="8">
        <v>1</v>
      </c>
      <c r="H2" s="8">
        <v>2</v>
      </c>
      <c r="I2" s="8" t="s">
        <v>17</v>
      </c>
      <c r="J2" s="8">
        <v>7</v>
      </c>
      <c r="K2" s="8" t="s">
        <v>18</v>
      </c>
      <c r="L2" s="10"/>
      <c r="M2" s="8">
        <v>13</v>
      </c>
      <c r="N2" s="8" t="s">
        <v>19</v>
      </c>
      <c r="O2" s="10"/>
      <c r="Q2" s="1">
        <v>1</v>
      </c>
      <c r="R2" s="1" t="s">
        <v>20</v>
      </c>
    </row>
    <row r="3" spans="1:18">
      <c r="A3" s="4" t="s">
        <v>21</v>
      </c>
      <c r="B3" s="4" t="s">
        <v>22</v>
      </c>
      <c r="C3" s="4">
        <v>2</v>
      </c>
      <c r="D3" s="8" t="s">
        <v>23</v>
      </c>
      <c r="E3" s="8" t="s">
        <v>23</v>
      </c>
      <c r="F3" s="9" t="s">
        <v>17</v>
      </c>
      <c r="G3" s="8">
        <v>1</v>
      </c>
      <c r="H3" s="8">
        <v>3</v>
      </c>
      <c r="I3" s="8" t="s">
        <v>17</v>
      </c>
      <c r="J3" s="8" t="s">
        <v>24</v>
      </c>
      <c r="K3" s="8"/>
      <c r="L3" s="10"/>
      <c r="M3" s="8" t="s">
        <v>24</v>
      </c>
      <c r="N3" s="8"/>
      <c r="O3" s="10"/>
      <c r="Q3" s="1">
        <v>2</v>
      </c>
      <c r="R3" s="1" t="s">
        <v>25</v>
      </c>
    </row>
    <row r="4" spans="1:18">
      <c r="A4" s="4" t="s">
        <v>26</v>
      </c>
      <c r="B4" s="4" t="s">
        <v>27</v>
      </c>
      <c r="C4" s="4">
        <v>3</v>
      </c>
      <c r="D4" s="8">
        <f>J4+M4</f>
        <v>146</v>
      </c>
      <c r="E4" s="8">
        <f>K4+N4</f>
        <v>73</v>
      </c>
      <c r="F4" s="9">
        <v>79</v>
      </c>
      <c r="G4" s="8">
        <v>1</v>
      </c>
      <c r="H4" s="8">
        <v>2</v>
      </c>
      <c r="I4" s="8">
        <v>7</v>
      </c>
      <c r="J4" s="8">
        <v>53</v>
      </c>
      <c r="K4" s="8">
        <v>18</v>
      </c>
      <c r="L4" s="10" t="s">
        <v>28</v>
      </c>
      <c r="M4" s="8">
        <v>93</v>
      </c>
      <c r="N4" s="8">
        <v>55</v>
      </c>
      <c r="O4" s="10" t="s">
        <v>29</v>
      </c>
      <c r="Q4" s="1">
        <v>3</v>
      </c>
      <c r="R4" s="1" t="s">
        <v>30</v>
      </c>
    </row>
    <row r="5" spans="1:18">
      <c r="A5" s="4" t="s">
        <v>31</v>
      </c>
      <c r="B5" s="4" t="s">
        <v>32</v>
      </c>
      <c r="C5" s="4">
        <v>4</v>
      </c>
      <c r="D5" s="8">
        <f>J5+M5</f>
        <v>104</v>
      </c>
      <c r="E5" s="8">
        <v>109</v>
      </c>
      <c r="F5" s="9" t="s">
        <v>17</v>
      </c>
      <c r="G5" s="8">
        <v>1</v>
      </c>
      <c r="H5" s="8">
        <v>3</v>
      </c>
      <c r="I5" s="8" t="s">
        <v>17</v>
      </c>
      <c r="J5" s="8">
        <v>51</v>
      </c>
      <c r="K5" s="8" t="s">
        <v>33</v>
      </c>
      <c r="L5" s="10"/>
      <c r="M5" s="8">
        <v>53</v>
      </c>
      <c r="N5" s="8" t="s">
        <v>34</v>
      </c>
      <c r="O5" s="10"/>
      <c r="Q5" s="1">
        <v>4</v>
      </c>
      <c r="R5" s="1" t="s">
        <v>30</v>
      </c>
    </row>
    <row r="6" spans="1:18">
      <c r="A6" s="4" t="s">
        <v>31</v>
      </c>
      <c r="B6" s="4" t="s">
        <v>35</v>
      </c>
      <c r="C6" s="4">
        <v>5</v>
      </c>
      <c r="D6" s="8">
        <f>J6+M6</f>
        <v>46</v>
      </c>
      <c r="E6" s="8">
        <f>K6+N6</f>
        <v>33</v>
      </c>
      <c r="F6" s="9">
        <v>30</v>
      </c>
      <c r="G6" s="8">
        <v>1</v>
      </c>
      <c r="H6" s="8">
        <v>3</v>
      </c>
      <c r="I6" s="8">
        <v>7</v>
      </c>
      <c r="J6" s="8">
        <v>27</v>
      </c>
      <c r="K6" s="8">
        <v>10</v>
      </c>
      <c r="L6" s="10" t="s">
        <v>36</v>
      </c>
      <c r="M6" s="8">
        <v>19</v>
      </c>
      <c r="N6" s="8">
        <v>23</v>
      </c>
      <c r="O6" s="10" t="s">
        <v>37</v>
      </c>
      <c r="Q6" s="1">
        <v>5</v>
      </c>
      <c r="R6" s="1" t="s">
        <v>38</v>
      </c>
    </row>
    <row r="7" spans="1:18">
      <c r="A7" s="4" t="s">
        <v>39</v>
      </c>
      <c r="B7" s="4" t="s">
        <v>40</v>
      </c>
      <c r="C7" s="4">
        <v>6</v>
      </c>
      <c r="D7" s="8" t="s">
        <v>23</v>
      </c>
      <c r="E7" s="8" t="s">
        <v>23</v>
      </c>
      <c r="F7" s="9" t="s">
        <v>17</v>
      </c>
      <c r="G7" s="8">
        <v>1</v>
      </c>
      <c r="H7" s="8">
        <v>3</v>
      </c>
      <c r="I7" s="8" t="s">
        <v>17</v>
      </c>
      <c r="J7" s="8" t="s">
        <v>24</v>
      </c>
      <c r="K7" s="8"/>
      <c r="L7" s="10"/>
      <c r="M7" s="8" t="s">
        <v>24</v>
      </c>
      <c r="N7" s="8"/>
      <c r="O7" s="10"/>
      <c r="Q7" s="1">
        <v>6</v>
      </c>
      <c r="R7" s="1" t="s">
        <v>41</v>
      </c>
    </row>
    <row r="8" spans="1:18">
      <c r="A8" s="4" t="s">
        <v>42</v>
      </c>
      <c r="B8" s="4" t="s">
        <v>43</v>
      </c>
      <c r="C8" s="4">
        <v>7</v>
      </c>
      <c r="D8" s="8">
        <f>J8+M8</f>
        <v>209</v>
      </c>
      <c r="E8" s="8">
        <v>200</v>
      </c>
      <c r="F8" s="9" t="s">
        <v>17</v>
      </c>
      <c r="G8" s="8">
        <v>1</v>
      </c>
      <c r="H8" s="8">
        <v>2</v>
      </c>
      <c r="I8" s="8" t="s">
        <v>17</v>
      </c>
      <c r="J8" s="8">
        <v>46</v>
      </c>
      <c r="K8" s="8" t="s">
        <v>44</v>
      </c>
      <c r="L8" s="10"/>
      <c r="M8" s="8">
        <v>163</v>
      </c>
      <c r="N8" s="8" t="s">
        <v>45</v>
      </c>
      <c r="O8" s="10"/>
      <c r="Q8" s="1">
        <v>7</v>
      </c>
      <c r="R8" s="1" t="s">
        <v>46</v>
      </c>
    </row>
    <row r="9" spans="1:18">
      <c r="A9" s="4" t="s">
        <v>47</v>
      </c>
      <c r="B9" s="4" t="s">
        <v>43</v>
      </c>
      <c r="C9" s="4">
        <v>8</v>
      </c>
      <c r="D9" s="8">
        <f>J9+M9</f>
        <v>117</v>
      </c>
      <c r="E9" s="8">
        <f>K9+N9</f>
        <v>119</v>
      </c>
      <c r="F9" s="9">
        <v>116</v>
      </c>
      <c r="G9" s="8">
        <v>1</v>
      </c>
      <c r="H9" s="8">
        <v>3</v>
      </c>
      <c r="I9" s="8">
        <v>7</v>
      </c>
      <c r="J9" s="8">
        <v>46</v>
      </c>
      <c r="K9" s="8">
        <v>53</v>
      </c>
      <c r="L9" s="10" t="s">
        <v>48</v>
      </c>
      <c r="M9" s="8">
        <v>71</v>
      </c>
      <c r="N9" s="8">
        <v>66</v>
      </c>
      <c r="O9" s="10" t="s">
        <v>49</v>
      </c>
      <c r="Q9" s="1">
        <v>8</v>
      </c>
      <c r="R9" s="1" t="s">
        <v>50</v>
      </c>
    </row>
    <row r="10" spans="1:18">
      <c r="A10" s="4" t="s">
        <v>51</v>
      </c>
      <c r="B10" s="4" t="s">
        <v>52</v>
      </c>
      <c r="C10" s="4">
        <v>9</v>
      </c>
      <c r="D10" s="8">
        <f>J10+M10</f>
        <v>65</v>
      </c>
      <c r="E10" s="8">
        <v>65</v>
      </c>
      <c r="F10" s="9" t="s">
        <v>17</v>
      </c>
      <c r="G10" s="8">
        <v>1</v>
      </c>
      <c r="H10" s="8">
        <v>3</v>
      </c>
      <c r="I10" s="8" t="s">
        <v>17</v>
      </c>
      <c r="J10" s="8">
        <v>17</v>
      </c>
      <c r="K10" s="8" t="s">
        <v>53</v>
      </c>
      <c r="L10" s="10"/>
      <c r="M10" s="11">
        <v>48</v>
      </c>
      <c r="N10" s="11" t="s">
        <v>54</v>
      </c>
      <c r="O10" s="12"/>
    </row>
    <row r="11" spans="1:18">
      <c r="A11" s="4" t="s">
        <v>55</v>
      </c>
      <c r="B11" s="4" t="s">
        <v>43</v>
      </c>
      <c r="C11" s="4">
        <v>10</v>
      </c>
      <c r="D11" s="8">
        <f>J11+M11</f>
        <v>387</v>
      </c>
      <c r="E11" s="8">
        <f>K11+N11</f>
        <v>387</v>
      </c>
      <c r="F11" s="9">
        <v>239</v>
      </c>
      <c r="G11" s="8">
        <v>1</v>
      </c>
      <c r="H11" s="8">
        <v>2</v>
      </c>
      <c r="I11" s="8">
        <v>7</v>
      </c>
      <c r="J11" s="8">
        <v>165</v>
      </c>
      <c r="K11" s="8">
        <v>140</v>
      </c>
      <c r="L11" s="10" t="s">
        <v>53</v>
      </c>
      <c r="M11" s="8">
        <v>222</v>
      </c>
      <c r="N11" s="8">
        <v>247</v>
      </c>
      <c r="O11" s="10" t="s">
        <v>56</v>
      </c>
    </row>
    <row r="12" spans="1:18">
      <c r="A12" s="4" t="s">
        <v>57</v>
      </c>
      <c r="B12" s="4" t="s">
        <v>27</v>
      </c>
      <c r="C12" s="4">
        <v>11</v>
      </c>
      <c r="D12" s="8">
        <f>J12+M12</f>
        <v>15</v>
      </c>
      <c r="E12" s="8">
        <v>16</v>
      </c>
      <c r="F12" s="9" t="s">
        <v>17</v>
      </c>
      <c r="G12" s="8">
        <v>1</v>
      </c>
      <c r="H12" s="8">
        <v>3</v>
      </c>
      <c r="I12" s="8" t="s">
        <v>17</v>
      </c>
      <c r="J12" s="8">
        <v>11</v>
      </c>
      <c r="K12" s="8" t="s">
        <v>58</v>
      </c>
      <c r="L12" s="10"/>
      <c r="M12" s="8">
        <v>4</v>
      </c>
      <c r="N12" s="8" t="s">
        <v>59</v>
      </c>
      <c r="O12" s="10"/>
    </row>
    <row r="13" spans="1:18">
      <c r="A13" s="4" t="s">
        <v>60</v>
      </c>
      <c r="B13" s="4" t="s">
        <v>61</v>
      </c>
      <c r="C13" s="4">
        <v>12</v>
      </c>
      <c r="D13" s="8">
        <f>J13+M13</f>
        <v>31</v>
      </c>
      <c r="E13" s="8">
        <v>31</v>
      </c>
      <c r="F13" s="9" t="s">
        <v>17</v>
      </c>
      <c r="G13" s="8">
        <v>1</v>
      </c>
      <c r="H13" s="8">
        <v>2</v>
      </c>
      <c r="I13" s="8" t="s">
        <v>17</v>
      </c>
      <c r="J13" s="8">
        <v>2</v>
      </c>
      <c r="K13" s="8" t="s">
        <v>18</v>
      </c>
      <c r="L13" s="10"/>
      <c r="M13" s="8">
        <v>29</v>
      </c>
      <c r="N13" s="8" t="s">
        <v>62</v>
      </c>
      <c r="O13" s="10"/>
    </row>
    <row r="14" spans="1:18">
      <c r="A14" s="4" t="s">
        <v>63</v>
      </c>
      <c r="B14" s="4" t="s">
        <v>64</v>
      </c>
      <c r="C14" s="4">
        <v>13</v>
      </c>
      <c r="D14" s="8" t="s">
        <v>23</v>
      </c>
      <c r="E14" s="8" t="s">
        <v>23</v>
      </c>
      <c r="F14" s="9" t="s">
        <v>23</v>
      </c>
      <c r="G14" s="8">
        <v>1</v>
      </c>
      <c r="H14" s="8">
        <v>2</v>
      </c>
      <c r="I14" s="8">
        <v>4</v>
      </c>
      <c r="J14" s="8" t="s">
        <v>24</v>
      </c>
      <c r="K14" s="8"/>
      <c r="L14" s="10"/>
      <c r="M14" s="8" t="s">
        <v>24</v>
      </c>
      <c r="N14" s="8"/>
      <c r="O14" s="10"/>
    </row>
    <row r="15" spans="1:18">
      <c r="A15" s="4" t="s">
        <v>65</v>
      </c>
      <c r="B15" s="4" t="s">
        <v>66</v>
      </c>
      <c r="C15" s="4">
        <v>14</v>
      </c>
      <c r="D15" s="8">
        <f>J15+M15</f>
        <v>34</v>
      </c>
      <c r="E15" s="8">
        <v>35</v>
      </c>
      <c r="F15" s="9" t="s">
        <v>17</v>
      </c>
      <c r="G15" s="8">
        <v>1</v>
      </c>
      <c r="H15" s="8">
        <v>3</v>
      </c>
      <c r="I15" s="8" t="s">
        <v>17</v>
      </c>
      <c r="J15" s="8">
        <v>17</v>
      </c>
      <c r="K15" s="8" t="s">
        <v>67</v>
      </c>
      <c r="L15" s="10"/>
      <c r="M15" s="8">
        <v>17</v>
      </c>
      <c r="N15" s="8" t="s">
        <v>68</v>
      </c>
      <c r="O15" s="10"/>
    </row>
    <row r="16" spans="1:18">
      <c r="A16" s="4" t="s">
        <v>69</v>
      </c>
      <c r="B16" s="4" t="s">
        <v>70</v>
      </c>
      <c r="C16" s="4">
        <v>15</v>
      </c>
      <c r="D16" s="8">
        <f>J16+M16</f>
        <v>42</v>
      </c>
      <c r="E16" s="8">
        <v>41</v>
      </c>
      <c r="F16" s="9" t="s">
        <v>17</v>
      </c>
      <c r="G16" s="8">
        <v>1</v>
      </c>
      <c r="H16" s="8">
        <v>3</v>
      </c>
      <c r="I16" s="8" t="s">
        <v>17</v>
      </c>
      <c r="J16" s="8">
        <v>13</v>
      </c>
      <c r="K16" s="8" t="s">
        <v>36</v>
      </c>
      <c r="L16" s="10"/>
      <c r="M16" s="8">
        <v>29</v>
      </c>
      <c r="N16" s="8" t="s">
        <v>71</v>
      </c>
      <c r="O16" s="10"/>
    </row>
    <row r="17" spans="1:15">
      <c r="A17" s="4" t="s">
        <v>72</v>
      </c>
      <c r="B17" s="4" t="s">
        <v>73</v>
      </c>
      <c r="C17" s="4">
        <v>16</v>
      </c>
      <c r="D17" s="8">
        <f>J17+M17</f>
        <v>40</v>
      </c>
      <c r="E17" s="8">
        <f>K17+N17</f>
        <v>45</v>
      </c>
      <c r="F17" s="9">
        <v>46</v>
      </c>
      <c r="G17" s="8">
        <v>1</v>
      </c>
      <c r="H17" s="8">
        <v>2</v>
      </c>
      <c r="I17" s="8">
        <v>7</v>
      </c>
      <c r="J17" s="8">
        <v>18</v>
      </c>
      <c r="K17" s="8">
        <v>18</v>
      </c>
      <c r="L17" s="10" t="s">
        <v>37</v>
      </c>
      <c r="M17" s="8">
        <v>22</v>
      </c>
      <c r="N17" s="8">
        <v>27</v>
      </c>
      <c r="O17" s="10" t="s">
        <v>74</v>
      </c>
    </row>
    <row r="18" spans="1:15">
      <c r="A18" s="4" t="s">
        <v>75</v>
      </c>
      <c r="B18" s="4" t="s">
        <v>76</v>
      </c>
      <c r="C18" s="4">
        <v>17</v>
      </c>
      <c r="D18" s="8">
        <f>J18+M18</f>
        <v>88</v>
      </c>
      <c r="E18" s="8">
        <v>90</v>
      </c>
      <c r="F18" s="9" t="s">
        <v>17</v>
      </c>
      <c r="G18" s="8">
        <v>1</v>
      </c>
      <c r="H18" s="8">
        <v>2</v>
      </c>
      <c r="I18" s="8" t="s">
        <v>17</v>
      </c>
      <c r="J18" s="8">
        <v>25</v>
      </c>
      <c r="K18" s="8" t="s">
        <v>77</v>
      </c>
      <c r="L18" s="10"/>
      <c r="M18" s="8">
        <v>63</v>
      </c>
      <c r="N18" s="8" t="s">
        <v>78</v>
      </c>
      <c r="O18" s="10"/>
    </row>
    <row r="19" spans="1:15">
      <c r="A19" s="4" t="s">
        <v>79</v>
      </c>
      <c r="B19" s="4" t="s">
        <v>64</v>
      </c>
      <c r="C19" s="4">
        <v>18</v>
      </c>
      <c r="D19" s="8">
        <f>J19+M19</f>
        <v>21</v>
      </c>
      <c r="E19" s="8">
        <v>21</v>
      </c>
      <c r="F19" s="9" t="s">
        <v>17</v>
      </c>
      <c r="G19" s="8">
        <v>1</v>
      </c>
      <c r="H19" s="8">
        <v>2</v>
      </c>
      <c r="I19" s="8" t="s">
        <v>17</v>
      </c>
      <c r="J19" s="8">
        <v>4</v>
      </c>
      <c r="K19" s="8" t="s">
        <v>80</v>
      </c>
      <c r="L19" s="10"/>
      <c r="M19" s="8">
        <v>17</v>
      </c>
      <c r="N19" s="8" t="s">
        <v>81</v>
      </c>
      <c r="O19" s="10"/>
    </row>
    <row r="20" spans="1:15">
      <c r="A20" s="4" t="s">
        <v>82</v>
      </c>
      <c r="B20" s="4" t="s">
        <v>27</v>
      </c>
      <c r="C20" s="4">
        <v>19</v>
      </c>
      <c r="D20" s="8" t="s">
        <v>23</v>
      </c>
      <c r="E20" s="8" t="s">
        <v>23</v>
      </c>
      <c r="F20" s="9" t="s">
        <v>17</v>
      </c>
      <c r="G20" s="8">
        <v>1</v>
      </c>
      <c r="H20" s="8">
        <v>3</v>
      </c>
      <c r="I20" s="8" t="s">
        <v>17</v>
      </c>
      <c r="J20" s="8" t="s">
        <v>24</v>
      </c>
      <c r="K20" s="8"/>
      <c r="L20" s="10"/>
      <c r="M20" s="8" t="s">
        <v>24</v>
      </c>
      <c r="N20" s="8"/>
      <c r="O20" s="10"/>
    </row>
    <row r="21" spans="1:15">
      <c r="A21" s="4" t="s">
        <v>83</v>
      </c>
      <c r="B21" s="4" t="s">
        <v>84</v>
      </c>
      <c r="C21" s="4">
        <v>20</v>
      </c>
      <c r="D21" s="8">
        <f>J21+M21</f>
        <v>39</v>
      </c>
      <c r="E21" s="8">
        <f>K21+N21</f>
        <v>40</v>
      </c>
      <c r="F21" s="9">
        <v>41</v>
      </c>
      <c r="G21" s="8">
        <v>1</v>
      </c>
      <c r="H21" s="8">
        <v>3</v>
      </c>
      <c r="I21" s="8">
        <v>7</v>
      </c>
      <c r="J21" s="8">
        <v>12</v>
      </c>
      <c r="K21" s="8">
        <v>9</v>
      </c>
      <c r="L21" s="10" t="s">
        <v>85</v>
      </c>
      <c r="M21" s="8">
        <v>27</v>
      </c>
      <c r="N21" s="8">
        <v>31</v>
      </c>
      <c r="O21" s="10" t="s">
        <v>86</v>
      </c>
    </row>
    <row r="22" spans="1:15">
      <c r="A22" s="4" t="s">
        <v>87</v>
      </c>
      <c r="B22" s="4" t="s">
        <v>88</v>
      </c>
      <c r="C22" s="4">
        <v>21</v>
      </c>
      <c r="D22" s="8">
        <f>J22+M22</f>
        <v>118</v>
      </c>
      <c r="E22" s="8">
        <f>K22+N22</f>
        <v>57</v>
      </c>
      <c r="F22" s="9">
        <v>63</v>
      </c>
      <c r="G22" s="8">
        <v>1</v>
      </c>
      <c r="H22" s="8">
        <v>2</v>
      </c>
      <c r="I22" s="8">
        <v>7</v>
      </c>
      <c r="J22" s="8">
        <v>23</v>
      </c>
      <c r="K22" s="8">
        <v>11</v>
      </c>
      <c r="L22" s="10" t="s">
        <v>18</v>
      </c>
      <c r="M22" s="8">
        <v>95</v>
      </c>
      <c r="N22" s="8">
        <v>46</v>
      </c>
      <c r="O22" s="10" t="s">
        <v>89</v>
      </c>
    </row>
    <row r="23" spans="1:15">
      <c r="A23" s="4" t="s">
        <v>90</v>
      </c>
      <c r="B23" s="4" t="s">
        <v>76</v>
      </c>
      <c r="C23" s="4">
        <v>22</v>
      </c>
      <c r="D23" s="8">
        <f>J23+M23</f>
        <v>28</v>
      </c>
      <c r="E23" s="8">
        <v>27</v>
      </c>
      <c r="F23" s="9" t="s">
        <v>17</v>
      </c>
      <c r="G23" s="8">
        <v>1</v>
      </c>
      <c r="H23" s="8">
        <v>3</v>
      </c>
      <c r="I23" s="8" t="s">
        <v>17</v>
      </c>
      <c r="J23" s="8">
        <v>7</v>
      </c>
      <c r="K23" s="8" t="s">
        <v>58</v>
      </c>
      <c r="L23" s="10"/>
      <c r="M23" s="8">
        <v>21</v>
      </c>
      <c r="N23" s="8" t="s">
        <v>91</v>
      </c>
      <c r="O23" s="10"/>
    </row>
    <row r="24" spans="1:15" ht="15" customHeight="1">
      <c r="A24" s="4" t="s">
        <v>92</v>
      </c>
      <c r="B24" s="4" t="s">
        <v>76</v>
      </c>
      <c r="C24" s="4">
        <v>23</v>
      </c>
      <c r="D24" s="8">
        <f>J24+M24</f>
        <v>62</v>
      </c>
      <c r="E24" s="8">
        <f>K24+N24</f>
        <v>64</v>
      </c>
      <c r="F24" s="9">
        <v>60</v>
      </c>
      <c r="G24" s="8">
        <v>1</v>
      </c>
      <c r="H24" s="8">
        <v>2</v>
      </c>
      <c r="I24" s="8">
        <v>7</v>
      </c>
      <c r="J24" s="8">
        <v>33</v>
      </c>
      <c r="K24" s="8">
        <v>36</v>
      </c>
      <c r="L24" s="10" t="s">
        <v>93</v>
      </c>
      <c r="M24" s="8">
        <v>29</v>
      </c>
      <c r="N24" s="8">
        <v>28</v>
      </c>
      <c r="O24" s="10" t="s">
        <v>94</v>
      </c>
    </row>
    <row r="25" spans="1:15">
      <c r="A25" s="4" t="s">
        <v>95</v>
      </c>
      <c r="B25" s="4" t="s">
        <v>73</v>
      </c>
      <c r="C25" s="4">
        <v>24</v>
      </c>
      <c r="D25" s="8">
        <f>J25+M25</f>
        <v>17</v>
      </c>
      <c r="E25" s="8">
        <v>17</v>
      </c>
      <c r="F25" s="9" t="s">
        <v>17</v>
      </c>
      <c r="G25" s="8">
        <v>1</v>
      </c>
      <c r="H25" s="8">
        <v>3</v>
      </c>
      <c r="I25" s="8" t="s">
        <v>17</v>
      </c>
      <c r="J25" s="8">
        <v>5</v>
      </c>
      <c r="K25" s="8" t="s">
        <v>18</v>
      </c>
      <c r="L25" s="10"/>
      <c r="M25" s="8">
        <v>12</v>
      </c>
      <c r="N25" s="8" t="s">
        <v>96</v>
      </c>
      <c r="O25" s="10"/>
    </row>
    <row r="26" spans="1:15">
      <c r="A26" s="4" t="s">
        <v>97</v>
      </c>
      <c r="B26" s="4" t="s">
        <v>43</v>
      </c>
      <c r="C26" s="4">
        <v>25</v>
      </c>
      <c r="D26" s="8">
        <f>J26+M26</f>
        <v>10</v>
      </c>
      <c r="E26" s="8">
        <v>6</v>
      </c>
      <c r="F26" s="9" t="s">
        <v>17</v>
      </c>
      <c r="G26" s="8">
        <v>1</v>
      </c>
      <c r="H26" s="8">
        <v>3</v>
      </c>
      <c r="I26" s="8" t="s">
        <v>17</v>
      </c>
      <c r="J26" s="8">
        <v>1</v>
      </c>
      <c r="K26" s="8" t="s">
        <v>98</v>
      </c>
      <c r="L26" s="10"/>
      <c r="M26" s="8">
        <v>9</v>
      </c>
      <c r="N26" s="8" t="s">
        <v>59</v>
      </c>
      <c r="O26" s="10"/>
    </row>
    <row r="27" spans="1:15">
      <c r="A27" s="4" t="s">
        <v>97</v>
      </c>
      <c r="B27" s="4" t="s">
        <v>16</v>
      </c>
      <c r="C27" s="4">
        <v>26</v>
      </c>
      <c r="D27" s="8" t="s">
        <v>23</v>
      </c>
      <c r="E27" s="8" t="s">
        <v>23</v>
      </c>
      <c r="F27" s="9" t="s">
        <v>17</v>
      </c>
      <c r="G27" s="8">
        <v>1</v>
      </c>
      <c r="H27" s="8">
        <v>5</v>
      </c>
      <c r="I27" s="8" t="s">
        <v>17</v>
      </c>
      <c r="J27" s="8" t="s">
        <v>24</v>
      </c>
      <c r="K27" s="8"/>
      <c r="L27" s="10"/>
      <c r="M27" s="8" t="s">
        <v>24</v>
      </c>
      <c r="N27" s="8"/>
      <c r="O27" s="10"/>
    </row>
    <row r="28" spans="1:15">
      <c r="A28" s="4" t="s">
        <v>99</v>
      </c>
      <c r="B28" s="4" t="s">
        <v>76</v>
      </c>
      <c r="C28" s="4">
        <v>27</v>
      </c>
      <c r="D28" s="8">
        <f>J28+M28</f>
        <v>139</v>
      </c>
      <c r="E28" s="8">
        <f>K28+N28</f>
        <v>283</v>
      </c>
      <c r="F28" s="9">
        <v>72</v>
      </c>
      <c r="G28" s="8">
        <v>1</v>
      </c>
      <c r="H28" s="8">
        <v>2</v>
      </c>
      <c r="I28" s="8">
        <v>7</v>
      </c>
      <c r="J28" s="8">
        <v>101</v>
      </c>
      <c r="K28" s="8">
        <v>195</v>
      </c>
      <c r="L28" s="10" t="s">
        <v>44</v>
      </c>
      <c r="M28" s="8">
        <v>38</v>
      </c>
      <c r="N28" s="8">
        <v>88</v>
      </c>
      <c r="O28" s="10" t="s">
        <v>71</v>
      </c>
    </row>
    <row r="29" spans="1:15">
      <c r="A29" s="4" t="s">
        <v>100</v>
      </c>
      <c r="B29" s="4" t="s">
        <v>101</v>
      </c>
      <c r="C29" s="4">
        <v>28</v>
      </c>
      <c r="D29" s="8">
        <f>J29+M29</f>
        <v>20</v>
      </c>
      <c r="E29" s="8">
        <v>20</v>
      </c>
      <c r="F29" s="9" t="s">
        <v>17</v>
      </c>
      <c r="G29" s="8">
        <v>1</v>
      </c>
      <c r="H29" s="8">
        <v>2</v>
      </c>
      <c r="I29" s="8" t="s">
        <v>17</v>
      </c>
      <c r="J29" s="8">
        <v>10</v>
      </c>
      <c r="K29" s="8" t="s">
        <v>58</v>
      </c>
      <c r="L29" s="10"/>
      <c r="M29" s="8">
        <v>10</v>
      </c>
      <c r="N29" s="8" t="s">
        <v>58</v>
      </c>
      <c r="O29" s="10"/>
    </row>
    <row r="30" spans="1:15">
      <c r="A30" s="4" t="s">
        <v>102</v>
      </c>
      <c r="B30" s="4" t="s">
        <v>70</v>
      </c>
      <c r="C30" s="4">
        <v>29</v>
      </c>
      <c r="D30" s="8">
        <f>J30+M30</f>
        <v>145</v>
      </c>
      <c r="E30" s="8">
        <f>K30+N30</f>
        <v>151</v>
      </c>
      <c r="F30" s="9">
        <v>151</v>
      </c>
      <c r="G30" s="8">
        <v>1</v>
      </c>
      <c r="H30" s="8">
        <v>6</v>
      </c>
      <c r="I30" s="8">
        <v>2</v>
      </c>
      <c r="J30" s="8">
        <v>34</v>
      </c>
      <c r="K30" s="8">
        <v>32</v>
      </c>
      <c r="L30" s="10" t="s">
        <v>103</v>
      </c>
      <c r="M30" s="8">
        <v>111</v>
      </c>
      <c r="N30" s="8">
        <v>119</v>
      </c>
      <c r="O30" s="10" t="s">
        <v>104</v>
      </c>
    </row>
    <row r="31" spans="1:15">
      <c r="A31" s="4" t="s">
        <v>105</v>
      </c>
      <c r="B31" s="4" t="s">
        <v>52</v>
      </c>
      <c r="C31" s="4">
        <v>30</v>
      </c>
      <c r="D31" s="8">
        <f>J31+M31</f>
        <v>48</v>
      </c>
      <c r="E31" s="8">
        <v>49</v>
      </c>
      <c r="F31" s="9" t="s">
        <v>17</v>
      </c>
      <c r="G31" s="8">
        <v>1</v>
      </c>
      <c r="H31" s="8">
        <v>3</v>
      </c>
      <c r="I31" s="8" t="s">
        <v>17</v>
      </c>
      <c r="J31" s="8">
        <v>11</v>
      </c>
      <c r="K31" s="8" t="s">
        <v>18</v>
      </c>
      <c r="L31" s="10"/>
      <c r="M31" s="8">
        <v>37</v>
      </c>
      <c r="N31" s="8" t="s">
        <v>106</v>
      </c>
      <c r="O31" s="10"/>
    </row>
    <row r="32" spans="1:15">
      <c r="A32" s="4" t="s">
        <v>105</v>
      </c>
      <c r="B32" s="4" t="s">
        <v>107</v>
      </c>
      <c r="C32" s="4">
        <v>31</v>
      </c>
      <c r="D32" s="8" t="s">
        <v>23</v>
      </c>
      <c r="E32" s="8" t="s">
        <v>23</v>
      </c>
      <c r="F32" s="9" t="s">
        <v>17</v>
      </c>
      <c r="G32" s="8">
        <v>1</v>
      </c>
      <c r="H32" s="8">
        <v>5</v>
      </c>
      <c r="I32" s="8" t="s">
        <v>17</v>
      </c>
      <c r="J32" s="8" t="s">
        <v>24</v>
      </c>
      <c r="K32" s="8"/>
      <c r="L32" s="10"/>
      <c r="M32" s="8" t="s">
        <v>24</v>
      </c>
      <c r="N32" s="8"/>
      <c r="O32" s="10"/>
    </row>
    <row r="33" spans="1:15">
      <c r="A33" s="4" t="s">
        <v>108</v>
      </c>
      <c r="B33" s="4" t="s">
        <v>84</v>
      </c>
      <c r="C33" s="4">
        <v>32</v>
      </c>
      <c r="D33" s="8" t="s">
        <v>23</v>
      </c>
      <c r="E33" s="8" t="s">
        <v>23</v>
      </c>
      <c r="F33" s="9" t="s">
        <v>23</v>
      </c>
      <c r="G33" s="8">
        <v>1</v>
      </c>
      <c r="H33" s="8">
        <v>3</v>
      </c>
      <c r="I33" s="8">
        <v>7</v>
      </c>
      <c r="J33" s="8" t="s">
        <v>24</v>
      </c>
      <c r="K33" s="8"/>
      <c r="L33" s="10"/>
      <c r="M33" s="8" t="s">
        <v>24</v>
      </c>
      <c r="N33" s="8"/>
      <c r="O33" s="10"/>
    </row>
    <row r="34" spans="1:15">
      <c r="A34" s="4" t="s">
        <v>109</v>
      </c>
      <c r="B34" s="4" t="s">
        <v>70</v>
      </c>
      <c r="C34" s="4">
        <v>33</v>
      </c>
      <c r="D34" s="8">
        <f>J34+M34</f>
        <v>31</v>
      </c>
      <c r="E34" s="8">
        <f>K34+N34</f>
        <v>30</v>
      </c>
      <c r="F34" s="9">
        <v>31</v>
      </c>
      <c r="G34" s="8">
        <v>1</v>
      </c>
      <c r="H34" s="8">
        <v>1</v>
      </c>
      <c r="I34" s="8">
        <v>5</v>
      </c>
      <c r="J34" s="8">
        <v>10</v>
      </c>
      <c r="K34" s="8">
        <v>6</v>
      </c>
      <c r="L34" s="10" t="s">
        <v>18</v>
      </c>
      <c r="M34" s="8">
        <v>21</v>
      </c>
      <c r="N34" s="8">
        <v>24</v>
      </c>
      <c r="O34" s="10" t="s">
        <v>62</v>
      </c>
    </row>
    <row r="35" spans="1:15">
      <c r="A35" s="4" t="s">
        <v>110</v>
      </c>
      <c r="B35" s="4" t="s">
        <v>61</v>
      </c>
      <c r="C35" s="4">
        <v>34</v>
      </c>
      <c r="D35" s="8">
        <f>J35+M35</f>
        <v>20</v>
      </c>
      <c r="E35" s="8">
        <v>20</v>
      </c>
      <c r="F35" s="9" t="s">
        <v>17</v>
      </c>
      <c r="G35" s="8">
        <v>1</v>
      </c>
      <c r="H35" s="8">
        <v>2</v>
      </c>
      <c r="I35" s="8" t="s">
        <v>17</v>
      </c>
      <c r="J35" s="8">
        <v>0</v>
      </c>
      <c r="K35" s="8" t="s">
        <v>111</v>
      </c>
      <c r="L35" s="10"/>
      <c r="M35" s="8">
        <v>20</v>
      </c>
      <c r="N35" s="8" t="s">
        <v>91</v>
      </c>
      <c r="O35" s="10"/>
    </row>
    <row r="36" spans="1:15">
      <c r="A36" s="4" t="s">
        <v>112</v>
      </c>
      <c r="B36" s="4" t="s">
        <v>27</v>
      </c>
      <c r="C36" s="4">
        <v>35</v>
      </c>
      <c r="D36" s="8">
        <f>J36+M36</f>
        <v>45</v>
      </c>
      <c r="E36" s="8">
        <v>45</v>
      </c>
      <c r="F36" s="9" t="s">
        <v>17</v>
      </c>
      <c r="G36" s="8">
        <v>1</v>
      </c>
      <c r="H36" s="8">
        <v>3</v>
      </c>
      <c r="I36" s="8" t="s">
        <v>17</v>
      </c>
      <c r="J36" s="8">
        <v>15</v>
      </c>
      <c r="K36" s="8" t="s">
        <v>37</v>
      </c>
      <c r="L36" s="10"/>
      <c r="M36" s="8">
        <v>30</v>
      </c>
      <c r="N36" s="8" t="s">
        <v>62</v>
      </c>
      <c r="O36" s="10"/>
    </row>
    <row r="37" spans="1:15">
      <c r="A37" s="4" t="s">
        <v>113</v>
      </c>
      <c r="B37" s="4" t="s">
        <v>16</v>
      </c>
      <c r="C37" s="4">
        <v>36</v>
      </c>
      <c r="D37" s="8">
        <f>J37+M37</f>
        <v>53</v>
      </c>
      <c r="E37" s="8">
        <v>53</v>
      </c>
      <c r="F37" s="9" t="s">
        <v>17</v>
      </c>
      <c r="G37" s="8">
        <v>1</v>
      </c>
      <c r="H37" s="8">
        <v>2</v>
      </c>
      <c r="I37" s="8" t="s">
        <v>17</v>
      </c>
      <c r="J37" s="8">
        <v>6</v>
      </c>
      <c r="K37" s="8" t="s">
        <v>68</v>
      </c>
      <c r="L37" s="10"/>
      <c r="M37" s="8">
        <v>47</v>
      </c>
      <c r="N37" s="8" t="s">
        <v>114</v>
      </c>
      <c r="O37" s="10"/>
    </row>
    <row r="38" spans="1:15">
      <c r="A38" s="4" t="s">
        <v>113</v>
      </c>
      <c r="B38" s="4" t="s">
        <v>76</v>
      </c>
      <c r="C38" s="4">
        <v>37</v>
      </c>
      <c r="D38" s="8">
        <f>J38+M38</f>
        <v>76</v>
      </c>
      <c r="E38" s="8">
        <v>74</v>
      </c>
      <c r="F38" s="9" t="s">
        <v>17</v>
      </c>
      <c r="G38" s="8">
        <v>1</v>
      </c>
      <c r="H38" s="8">
        <v>2</v>
      </c>
      <c r="I38" s="8" t="s">
        <v>17</v>
      </c>
      <c r="J38" s="8">
        <v>23</v>
      </c>
      <c r="K38" s="8" t="s">
        <v>67</v>
      </c>
      <c r="L38" s="10"/>
      <c r="M38" s="8">
        <v>53</v>
      </c>
      <c r="N38" s="8" t="s">
        <v>115</v>
      </c>
      <c r="O38" s="10"/>
    </row>
    <row r="39" spans="1:15">
      <c r="A39" s="4" t="s">
        <v>116</v>
      </c>
      <c r="B39" s="4" t="s">
        <v>35</v>
      </c>
      <c r="C39" s="4">
        <v>38</v>
      </c>
      <c r="D39" s="8">
        <f>J39+M39</f>
        <v>60</v>
      </c>
      <c r="E39" s="8">
        <v>60</v>
      </c>
      <c r="F39" s="9" t="s">
        <v>17</v>
      </c>
      <c r="G39" s="8">
        <v>1</v>
      </c>
      <c r="H39" s="8">
        <v>2</v>
      </c>
      <c r="I39" s="8" t="s">
        <v>17</v>
      </c>
      <c r="J39" s="8">
        <v>25</v>
      </c>
      <c r="K39" s="8" t="s">
        <v>117</v>
      </c>
      <c r="L39" s="10"/>
      <c r="M39" s="8">
        <v>35</v>
      </c>
      <c r="N39" s="8" t="s">
        <v>118</v>
      </c>
      <c r="O39" s="10"/>
    </row>
    <row r="40" spans="1:15">
      <c r="A40" s="4" t="s">
        <v>116</v>
      </c>
      <c r="B40" s="4" t="s">
        <v>119</v>
      </c>
      <c r="C40" s="4">
        <v>39</v>
      </c>
      <c r="D40" s="8">
        <f>J40+M40</f>
        <v>40</v>
      </c>
      <c r="E40" s="8">
        <f>K40+N40</f>
        <v>40</v>
      </c>
      <c r="F40" s="9">
        <v>40</v>
      </c>
      <c r="G40" s="8">
        <v>1</v>
      </c>
      <c r="H40" s="8">
        <v>8</v>
      </c>
      <c r="I40" s="8">
        <v>2</v>
      </c>
      <c r="J40" s="8">
        <v>16</v>
      </c>
      <c r="K40" s="8">
        <v>15</v>
      </c>
      <c r="L40" s="10" t="s">
        <v>120</v>
      </c>
      <c r="M40" s="8">
        <v>24</v>
      </c>
      <c r="N40" s="8">
        <v>25</v>
      </c>
      <c r="O40" s="10" t="s">
        <v>117</v>
      </c>
    </row>
    <row r="41" spans="1:15">
      <c r="A41" s="4" t="s">
        <v>121</v>
      </c>
      <c r="B41" s="4" t="s">
        <v>122</v>
      </c>
      <c r="C41" s="4">
        <v>40</v>
      </c>
      <c r="D41" s="8">
        <f>J41+M41</f>
        <v>260</v>
      </c>
      <c r="E41" s="8">
        <f>K41+N41</f>
        <v>268</v>
      </c>
      <c r="F41" s="9">
        <v>266</v>
      </c>
      <c r="G41" s="8">
        <v>1</v>
      </c>
      <c r="H41" s="8">
        <v>8</v>
      </c>
      <c r="I41" s="8">
        <v>2</v>
      </c>
      <c r="J41" s="8">
        <v>93</v>
      </c>
      <c r="K41" s="8">
        <v>78</v>
      </c>
      <c r="L41" s="10" t="s">
        <v>123</v>
      </c>
      <c r="M41" s="8">
        <v>167</v>
      </c>
      <c r="N41" s="8">
        <v>190</v>
      </c>
      <c r="O41" s="10" t="s">
        <v>124</v>
      </c>
    </row>
    <row r="42" spans="1:15">
      <c r="A42" s="4" t="s">
        <v>121</v>
      </c>
      <c r="B42" s="4" t="s">
        <v>125</v>
      </c>
      <c r="C42" s="4">
        <v>41</v>
      </c>
      <c r="D42" s="8">
        <f>J42+M42</f>
        <v>32</v>
      </c>
      <c r="E42" s="8">
        <v>30</v>
      </c>
      <c r="F42" s="9" t="s">
        <v>17</v>
      </c>
      <c r="G42" s="8">
        <v>1</v>
      </c>
      <c r="H42" s="8">
        <v>2</v>
      </c>
      <c r="I42" s="8" t="s">
        <v>17</v>
      </c>
      <c r="J42" s="8">
        <v>12</v>
      </c>
      <c r="K42" s="8" t="s">
        <v>126</v>
      </c>
      <c r="L42" s="10"/>
      <c r="M42" s="8">
        <v>20</v>
      </c>
      <c r="N42" s="8" t="s">
        <v>127</v>
      </c>
      <c r="O42" s="10"/>
    </row>
    <row r="43" spans="1:15">
      <c r="A43" s="4" t="s">
        <v>128</v>
      </c>
      <c r="B43" s="4" t="s">
        <v>107</v>
      </c>
      <c r="C43" s="4">
        <v>42</v>
      </c>
      <c r="D43" s="8">
        <f>J43+M43</f>
        <v>50</v>
      </c>
      <c r="E43" s="8">
        <f>K43+N43</f>
        <v>50</v>
      </c>
      <c r="F43" s="9">
        <v>50</v>
      </c>
      <c r="G43" s="8">
        <v>1</v>
      </c>
      <c r="H43" s="8">
        <v>3</v>
      </c>
      <c r="I43" s="8">
        <v>7</v>
      </c>
      <c r="J43" s="8">
        <v>17</v>
      </c>
      <c r="K43" s="8">
        <v>15</v>
      </c>
      <c r="L43" s="10" t="s">
        <v>53</v>
      </c>
      <c r="M43" s="8">
        <v>33</v>
      </c>
      <c r="N43" s="8">
        <v>35</v>
      </c>
      <c r="O43" s="10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FE2D722A-56F4-4520-9ACF-4666F279C706}"/>
</file>

<file path=customXml/itemProps2.xml><?xml version="1.0" encoding="utf-8"?>
<ds:datastoreItem xmlns:ds="http://schemas.openxmlformats.org/officeDocument/2006/customXml" ds:itemID="{B5E677DC-0522-48A6-A981-8AAC2D58661D}"/>
</file>

<file path=customXml/itemProps3.xml><?xml version="1.0" encoding="utf-8"?>
<ds:datastoreItem xmlns:ds="http://schemas.openxmlformats.org/officeDocument/2006/customXml" ds:itemID="{AAA031F3-A876-45AE-900A-AAA18FD05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Webster</dc:creator>
  <cp:keywords/>
  <dc:description/>
  <cp:lastModifiedBy>Xinrui Shi</cp:lastModifiedBy>
  <cp:revision/>
  <dcterms:created xsi:type="dcterms:W3CDTF">2025-04-24T11:46:43Z</dcterms:created>
  <dcterms:modified xsi:type="dcterms:W3CDTF">2026-03-02T17:33:09Z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