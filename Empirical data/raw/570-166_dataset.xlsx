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Second Sample/"/>
    </mc:Choice>
  </mc:AlternateContent>
  <xr:revisionPtr revIDLastSave="0" documentId="8_{40E7C17B-E188-1D4F-AA6E-D72424D6F228}" xr6:coauthVersionLast="47" xr6:coauthVersionMax="47" xr10:uidLastSave="{00000000-0000-0000-0000-000000000000}"/>
  <bookViews>
    <workbookView xWindow="0" yWindow="740" windowWidth="30240" windowHeight="18900" xr2:uid="{5A1624E9-9F23-8040-826E-797FB1DEBC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34" i="1"/>
  <c r="A35" i="1"/>
  <c r="A36" i="1"/>
  <c r="A37" i="1"/>
  <c r="A38" i="1"/>
  <c r="A39" i="1"/>
  <c r="A40" i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4" i="1"/>
  <c r="A5" i="1"/>
  <c r="A6" i="1"/>
  <c r="A7" i="1"/>
  <c r="A8" i="1"/>
  <c r="A9" i="1"/>
  <c r="A10" i="1"/>
  <c r="A11" i="1"/>
  <c r="A1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  <c r="J6" i="2"/>
  <c r="J84" i="2"/>
  <c r="J85" i="2"/>
  <c r="J86" i="2"/>
  <c r="J87" i="2"/>
  <c r="J88" i="2"/>
  <c r="J89" i="2"/>
  <c r="J90" i="2"/>
  <c r="J91" i="2"/>
  <c r="J92" i="2"/>
  <c r="J93" i="2"/>
  <c r="J94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</calcChain>
</file>

<file path=xl/sharedStrings.xml><?xml version="1.0" encoding="utf-8"?>
<sst xmlns="http://schemas.openxmlformats.org/spreadsheetml/2006/main" count="438" uniqueCount="273">
  <si>
    <t>Pem+Chemo</t>
  </si>
  <si>
    <t>Chemo</t>
  </si>
  <si>
    <t>Bellmunt,2017</t>
  </si>
  <si>
    <t>Pem</t>
  </si>
  <si>
    <t>Borghaei,2015</t>
  </si>
  <si>
    <t xml:space="preserve">Niv </t>
  </si>
  <si>
    <t>Brahmer,2015</t>
  </si>
  <si>
    <t>Carbone,2017</t>
  </si>
  <si>
    <t>Ferris,2016</t>
  </si>
  <si>
    <t>Robert,2015</t>
  </si>
  <si>
    <t>Niv</t>
  </si>
  <si>
    <t>Chemo(dacarbazine)</t>
  </si>
  <si>
    <t>Schachter,2017</t>
  </si>
  <si>
    <t>Pem every 2</t>
  </si>
  <si>
    <t>Pem every 3</t>
  </si>
  <si>
    <t>Ipi</t>
  </si>
  <si>
    <t>Weber,2015</t>
  </si>
  <si>
    <t>Govindan,2017</t>
  </si>
  <si>
    <t>Ipi+Chemo</t>
  </si>
  <si>
    <t>Gandhi,2018</t>
  </si>
  <si>
    <t xml:space="preserve">Pem+Chemo </t>
  </si>
  <si>
    <t>Mok,2019</t>
  </si>
  <si>
    <t xml:space="preserve">Pem </t>
  </si>
  <si>
    <t>Rittmeyer,2017</t>
  </si>
  <si>
    <t xml:space="preserve">Ate </t>
  </si>
  <si>
    <t>Dox</t>
  </si>
  <si>
    <t>Eggermont,2015</t>
  </si>
  <si>
    <t xml:space="preserve">Ipi </t>
  </si>
  <si>
    <t>placebo</t>
  </si>
  <si>
    <t>Eng1,2019</t>
  </si>
  <si>
    <t>Ate+Regorafenib</t>
  </si>
  <si>
    <t>Regorafenib</t>
  </si>
  <si>
    <t>Shitara,2018</t>
  </si>
  <si>
    <t>paclitaxel</t>
  </si>
  <si>
    <t>Kang,2017</t>
  </si>
  <si>
    <t>Placebo</t>
  </si>
  <si>
    <t>Finn2020</t>
  </si>
  <si>
    <t>Cohen,2019</t>
  </si>
  <si>
    <t>Ferris,2020</t>
  </si>
  <si>
    <t>Dur</t>
  </si>
  <si>
    <t xml:space="preserve">Dur+TRE </t>
  </si>
  <si>
    <t>Rizvi,2020</t>
  </si>
  <si>
    <t xml:space="preserve">Dur </t>
  </si>
  <si>
    <t>Dur+Treme</t>
  </si>
  <si>
    <t>Weber,2017</t>
  </si>
  <si>
    <t>Wolchok,2017</t>
  </si>
  <si>
    <t xml:space="preserve">Niv+Ipi </t>
  </si>
  <si>
    <t>Eggermont,2018</t>
  </si>
  <si>
    <t>Long,2019</t>
  </si>
  <si>
    <t>Epa+Pem</t>
  </si>
  <si>
    <t>placebo+Pem</t>
  </si>
  <si>
    <t>Antonia,2017</t>
  </si>
  <si>
    <t>Bang,2018</t>
  </si>
  <si>
    <t xml:space="preserve">Avelumab </t>
  </si>
  <si>
    <t>Hellenmen,2018</t>
  </si>
  <si>
    <t xml:space="preserve">Niv +Ipi </t>
  </si>
  <si>
    <t>Wu,2019</t>
  </si>
  <si>
    <t>Doc</t>
  </si>
  <si>
    <t>2Reck,2016</t>
  </si>
  <si>
    <t xml:space="preserve">Ipi+Chemo </t>
  </si>
  <si>
    <t>Schmid,2020</t>
  </si>
  <si>
    <t>2Rini,2019</t>
  </si>
  <si>
    <t xml:space="preserve">Pem+Axitinib </t>
  </si>
  <si>
    <t>Sunitinib</t>
  </si>
  <si>
    <t>2Schmid,2020</t>
  </si>
  <si>
    <t xml:space="preserve">Ate+Chemo </t>
  </si>
  <si>
    <t>Socinski,2018</t>
  </si>
  <si>
    <t xml:space="preserve">Ate+TTD+Chemo </t>
  </si>
  <si>
    <t>Kojima,2019</t>
  </si>
  <si>
    <t>2Finns,2020</t>
  </si>
  <si>
    <t xml:space="preserve">Ate+bevacizumab </t>
  </si>
  <si>
    <t>Sorafenib</t>
  </si>
  <si>
    <t>Yang,2019</t>
  </si>
  <si>
    <t>NCT02454933</t>
  </si>
  <si>
    <t xml:space="preserve">Osimertinib </t>
  </si>
  <si>
    <t>Osi+Dur</t>
  </si>
  <si>
    <t>Reardon,2020</t>
  </si>
  <si>
    <t>bevacizumab</t>
  </si>
  <si>
    <t>Reck,2019</t>
  </si>
  <si>
    <t>Horn,2018</t>
  </si>
  <si>
    <t>Motzer,2019</t>
  </si>
  <si>
    <t xml:space="preserve">Avelumba +Axitinib </t>
  </si>
  <si>
    <t>sunitinib</t>
  </si>
  <si>
    <t>Jotte,2020</t>
  </si>
  <si>
    <t>Ate+carboplatin+paclitaxel</t>
  </si>
  <si>
    <t>Ate+carboplatin+nab-paclitaxel</t>
  </si>
  <si>
    <t>caboplatin+nab-paclitaxel</t>
  </si>
  <si>
    <t>Owonikoko2021</t>
  </si>
  <si>
    <t>NCT02481830</t>
  </si>
  <si>
    <t>NCT03361865</t>
  </si>
  <si>
    <t>Pem+TTD</t>
  </si>
  <si>
    <t>NCT03358472</t>
  </si>
  <si>
    <t>Shitara,2020</t>
  </si>
  <si>
    <t>Wu,2020</t>
  </si>
  <si>
    <t>NCT02580058</t>
  </si>
  <si>
    <t>Ave</t>
  </si>
  <si>
    <t>Ave+pegylated liposomal doxorubicin</t>
  </si>
  <si>
    <t>PLD</t>
  </si>
  <si>
    <t>NCT02409355</t>
  </si>
  <si>
    <t>Ate</t>
  </si>
  <si>
    <t>NCT03260894</t>
  </si>
  <si>
    <t>TTD</t>
  </si>
  <si>
    <t>NCT02420821</t>
  </si>
  <si>
    <t>Ate+bevacizumab</t>
  </si>
  <si>
    <t>NCT02279732</t>
  </si>
  <si>
    <t> NCT02718417</t>
  </si>
  <si>
    <t>Ave+Chemo</t>
  </si>
  <si>
    <t>NCT03273153</t>
  </si>
  <si>
    <t>Winer2021</t>
  </si>
  <si>
    <t>NCT02302807</t>
  </si>
  <si>
    <t>NCT02395172</t>
  </si>
  <si>
    <t xml:space="preserve">docetaxel </t>
  </si>
  <si>
    <t>NCT01057810</t>
  </si>
  <si>
    <t>NCT02358031</t>
  </si>
  <si>
    <t>Chemo+TTD</t>
  </si>
  <si>
    <t>NCT00324155</t>
  </si>
  <si>
    <t xml:space="preserve">Ipi + Dacarbazine </t>
  </si>
  <si>
    <t>Placebo + Dacarbazine</t>
  </si>
  <si>
    <t>NCT01668784</t>
  </si>
  <si>
    <t>everolimus</t>
  </si>
  <si>
    <t>NCT02231749</t>
  </si>
  <si>
    <t>Niv+IPI</t>
  </si>
  <si>
    <t>NCT03043872</t>
  </si>
  <si>
    <t>Dur + Tre + Chemo</t>
  </si>
  <si>
    <t>NCT02367781</t>
  </si>
  <si>
    <t>Ate+carboplatin plus nab-paclitaxel</t>
  </si>
  <si>
    <t>NCT02352948</t>
  </si>
  <si>
    <t xml:space="preserve">A:Dur </t>
  </si>
  <si>
    <t>Soc</t>
  </si>
  <si>
    <t>B:Dur+Tre</t>
  </si>
  <si>
    <t>B:Soc</t>
  </si>
  <si>
    <t>B:Dur</t>
  </si>
  <si>
    <t>B:Tre</t>
  </si>
  <si>
    <t xml:space="preserve"> Bellmunt,2021</t>
  </si>
  <si>
    <t>Bajorin,2021</t>
  </si>
  <si>
    <t>Baas,2021</t>
  </si>
  <si>
    <t>Niv+Ipi</t>
  </si>
  <si>
    <t>Fennell,2021</t>
  </si>
  <si>
    <t>NCT03142334</t>
  </si>
  <si>
    <t>NCT02611960</t>
  </si>
  <si>
    <t>Boyer,2021</t>
  </si>
  <si>
    <t xml:space="preserve">Pem + Ipi </t>
  </si>
  <si>
    <t>Pem+Placebo</t>
  </si>
  <si>
    <t xml:space="preserve"> Usmani,2019</t>
  </si>
  <si>
    <t>Pem plus lenalidomide and dexamethasone</t>
  </si>
  <si>
    <t xml:space="preserve">dexamethasone </t>
  </si>
  <si>
    <t>Powels,2021</t>
  </si>
  <si>
    <t xml:space="preserve"> NCT03066778</t>
  </si>
  <si>
    <t>Pem + Etoposide</t>
  </si>
  <si>
    <t>NCT02576977</t>
  </si>
  <si>
    <t>Pem+Pomalidomide+Dexamethasone</t>
  </si>
  <si>
    <t>NCT02908672</t>
  </si>
  <si>
    <t xml:space="preserve">Cobimetinib + Vemurafenib </t>
  </si>
  <si>
    <t>Ate+ Cobimetinib + Vemurafenib</t>
  </si>
  <si>
    <t>NCT02409342</t>
  </si>
  <si>
    <t>Lee,2021</t>
  </si>
  <si>
    <t xml:space="preserve">Avelumab +Chemo </t>
  </si>
  <si>
    <t>NCT02576509</t>
  </si>
  <si>
    <t xml:space="preserve">SORAFENIB </t>
  </si>
  <si>
    <t xml:space="preserve">NCT03016312 </t>
  </si>
  <si>
    <t xml:space="preserve">Atezolizumab + Enzalutamide </t>
  </si>
  <si>
    <t>Enzalutamide</t>
  </si>
  <si>
    <t>Sun2021</t>
  </si>
  <si>
    <t>miles2021</t>
  </si>
  <si>
    <t xml:space="preserve">Chemo </t>
  </si>
  <si>
    <t>NCT03517449</t>
  </si>
  <si>
    <t>NCT02785952</t>
  </si>
  <si>
    <t>Nivolumab + Ipi</t>
  </si>
  <si>
    <t>Choueiri,2021</t>
  </si>
  <si>
    <t xml:space="preserve">Nivolumab plus Cabozantinib </t>
  </si>
  <si>
    <t>Cortes,2020</t>
  </si>
  <si>
    <t>Pem plus Chemo</t>
  </si>
  <si>
    <t>Chemotherapy</t>
  </si>
  <si>
    <t>Hamanishi,2021</t>
  </si>
  <si>
    <t>GEM or PLD</t>
  </si>
  <si>
    <t>Janjigian,2021</t>
  </si>
  <si>
    <t>Niv plus Chemo</t>
  </si>
  <si>
    <t>Kuruvilla,2021</t>
  </si>
  <si>
    <t>brentuximab vedotin</t>
  </si>
  <si>
    <t>Mai,2021</t>
  </si>
  <si>
    <t>Toripalimab+GP</t>
  </si>
  <si>
    <t>Mittendorf,2020</t>
  </si>
  <si>
    <t>Ate+Chemo</t>
  </si>
  <si>
    <t>NCT02625610</t>
  </si>
  <si>
    <t>Paz-Ares,2021</t>
  </si>
  <si>
    <t>Niv+Ipi+Chemo</t>
  </si>
  <si>
    <t>Powels,2020</t>
  </si>
  <si>
    <t>Sezer,2021</t>
  </si>
  <si>
    <t>Cemiplimab</t>
  </si>
  <si>
    <t>Sugawara,2021</t>
  </si>
  <si>
    <t>Wang,2021</t>
  </si>
  <si>
    <t>Tislelizumab Plus Chemo</t>
  </si>
  <si>
    <t>Tislelizumab Plus nab-PC</t>
  </si>
  <si>
    <t>PC</t>
  </si>
  <si>
    <t>Yang,2020</t>
  </si>
  <si>
    <t xml:space="preserve">Sintilimab </t>
  </si>
  <si>
    <t>Yang,2021</t>
  </si>
  <si>
    <t xml:space="preserve">Camrelizumab+gemcitabine and cisplatin </t>
  </si>
  <si>
    <t>gemcitabine and cisplatin</t>
  </si>
  <si>
    <t>Zhou,2021</t>
  </si>
  <si>
    <t>Sintilimab+GP</t>
  </si>
  <si>
    <t>2Zhou,2021</t>
  </si>
  <si>
    <t>Camrelizumab plus carboplatin and pemetrexed</t>
  </si>
  <si>
    <t>NCT02811861</t>
  </si>
  <si>
    <t xml:space="preserve">Lenvatinib+pem </t>
  </si>
  <si>
    <t>Lenvatinib+everolimus</t>
  </si>
  <si>
    <t>NCT02864394</t>
  </si>
  <si>
    <t>Chemo</t>
    <phoneticPr fontId="2" type="noConversion"/>
  </si>
  <si>
    <t>CTLA4 + Chemo</t>
  </si>
  <si>
    <t>CTLA4</t>
  </si>
  <si>
    <t>CTLA4</t>
    <phoneticPr fontId="2" type="noConversion"/>
  </si>
  <si>
    <t>TTD + Chemo</t>
  </si>
  <si>
    <t>TTD + Chemo</t>
    <phoneticPr fontId="2" type="noConversion"/>
  </si>
  <si>
    <t>PDL1 + TTD</t>
  </si>
  <si>
    <t>PDL1 + TTD</t>
    <phoneticPr fontId="2" type="noConversion"/>
  </si>
  <si>
    <t>PDL1 + Chemo</t>
  </si>
  <si>
    <t>PDL1</t>
  </si>
  <si>
    <t>PD1 + TTD</t>
  </si>
  <si>
    <t>PD1 + TTD</t>
    <phoneticPr fontId="2" type="noConversion"/>
  </si>
  <si>
    <t>PD1</t>
  </si>
  <si>
    <t>PD1 + Chemo</t>
  </si>
  <si>
    <t>PD1 + CTLA4</t>
  </si>
  <si>
    <t>PD1 + CTLA4 + Chemo</t>
  </si>
  <si>
    <t>Ate+TTD</t>
  </si>
  <si>
    <t>Dur + Chemo</t>
  </si>
  <si>
    <t>Dur+TTD</t>
  </si>
  <si>
    <t>GP</t>
  </si>
  <si>
    <t>lenalidomide and dexamethasone</t>
  </si>
  <si>
    <t>Ate+TTD+Chemo</t>
  </si>
  <si>
    <t>Avelumab</t>
  </si>
  <si>
    <t>Avelumab+Chemo</t>
  </si>
  <si>
    <t>Camrelizumab+gemcitabine and cisplatin</t>
  </si>
  <si>
    <t>Cobimetinib+Vemurafenib</t>
  </si>
  <si>
    <t>dexamethasone</t>
  </si>
  <si>
    <t>docetaxel</t>
  </si>
  <si>
    <t>Dur+Tre+Chemo</t>
  </si>
  <si>
    <t>Dur+TRE</t>
  </si>
  <si>
    <t>Ipi+Dacarbazine</t>
  </si>
  <si>
    <t>Lenvatinib+pem</t>
  </si>
  <si>
    <t>Nivolumab+Cabozantinib</t>
  </si>
  <si>
    <t>Osimertinib</t>
  </si>
  <si>
    <t>Pem+Etoposide</t>
  </si>
  <si>
    <t>Pem+Ipi</t>
  </si>
  <si>
    <t>Pem+Axitinib</t>
  </si>
  <si>
    <t>Sintilimab</t>
  </si>
  <si>
    <t>PD1</t>
    <phoneticPr fontId="2" type="noConversion"/>
  </si>
  <si>
    <t>PD1 + Chemo</t>
    <phoneticPr fontId="2" type="noConversion"/>
  </si>
  <si>
    <t>PD1 + CTLA4 + Chemo</t>
    <phoneticPr fontId="2" type="noConversion"/>
  </si>
  <si>
    <t>PD1 + CTLA4</t>
    <phoneticPr fontId="2" type="noConversion"/>
  </si>
  <si>
    <t>PDL1 + TTD + Chemo</t>
    <phoneticPr fontId="2" type="noConversion"/>
  </si>
  <si>
    <t>lenalidomide and dexamethasone</t>
    <phoneticPr fontId="2" type="noConversion"/>
  </si>
  <si>
    <t>placebo +GP</t>
  </si>
  <si>
    <t>Pomalidomide+Dexamethasone</t>
  </si>
  <si>
    <t>TTD+Chemo</t>
  </si>
  <si>
    <t>Ate+Cobimetinib+Vemurafenib</t>
    <phoneticPr fontId="2" type="noConversion"/>
  </si>
  <si>
    <t>Ate+carboplatin + nab-paclitaxel</t>
    <phoneticPr fontId="2" type="noConversion"/>
  </si>
  <si>
    <t>Ate+bevacizumab</t>
    <phoneticPr fontId="2" type="noConversion"/>
  </si>
  <si>
    <t>Ate+Regorafenib</t>
    <phoneticPr fontId="2" type="noConversion"/>
  </si>
  <si>
    <t>Atezolizumab+Enzalutamide</t>
    <phoneticPr fontId="2" type="noConversion"/>
  </si>
  <si>
    <t>PDL1 + CTLA4</t>
    <phoneticPr fontId="2" type="noConversion"/>
  </si>
  <si>
    <t>PDL1 + CTLA4 + Chemo</t>
    <phoneticPr fontId="2" type="noConversion"/>
  </si>
  <si>
    <t>Ave+pegylated liposomal doxorubicin</t>
    <phoneticPr fontId="2" type="noConversion"/>
  </si>
  <si>
    <t>Avelumba+Axitinib</t>
    <phoneticPr fontId="2" type="noConversion"/>
  </si>
  <si>
    <t>Pem plus lenalidomide and dexamethasone</t>
    <phoneticPr fontId="2" type="noConversion"/>
  </si>
  <si>
    <t>Placebo+Dacarbazine</t>
    <phoneticPr fontId="2" type="noConversion"/>
  </si>
  <si>
    <t>Lenvatinib 20 mg + Pem 200 mg</t>
    <phoneticPr fontId="2" type="noConversion"/>
  </si>
  <si>
    <t>plecbo+etoposide</t>
    <phoneticPr fontId="2" type="noConversion"/>
  </si>
  <si>
    <t>t</t>
    <phoneticPr fontId="2" type="noConversion"/>
  </si>
  <si>
    <t>n</t>
    <phoneticPr fontId="2" type="noConversion"/>
  </si>
  <si>
    <t>year</t>
    <phoneticPr fontId="2" type="noConversion"/>
  </si>
  <si>
    <t>StudyName</t>
    <phoneticPr fontId="2" type="noConversion"/>
  </si>
  <si>
    <t>Ares,2018</t>
    <phoneticPr fontId="2" type="noConversion"/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</si>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</sst>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u/>
      <sz val="10"/>
      <color theme="1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1" applyFont="1" applyBorder="1" applyAlignment="1">
      <alignment horizontal="left" vertical="center" wrapText="1"/>
    </xf>
    <xf numFmtId="0" fontId="3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NumberFormat="1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linicaltrials.gov/show/NCT02576977" TargetMode="External"/><Relationship Id="rId1" Type="http://schemas.openxmlformats.org/officeDocument/2006/relationships/hyperlink" Target="https://clinicaltrials.gov/show/NCT026119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7CA4-A7AE-724B-A7F7-70689057A41B}">
  <dimension ref="A1:L238"/>
  <sheetViews>
    <sheetView tabSelected="1" topLeftCell="A225" zoomScale="131" workbookViewId="0">
      <selection activeCell="A3" sqref="A3:A237"/>
    </sheetView>
  </sheetViews>
  <sheetFormatPr baseColWidth="10" defaultRowHeight="13"/>
  <cols>
    <col min="1" max="1" width="10.83203125" style="9"/>
    <col min="2" max="2" width="12.6640625" style="9" bestFit="1" customWidth="1"/>
    <col min="3" max="3" width="7.83203125" style="9" customWidth="1"/>
    <col min="4" max="4" width="10" style="9" bestFit="1" customWidth="1"/>
    <col min="5" max="6" width="10.83203125" style="9"/>
    <col min="7" max="12" width="10.83203125" style="10"/>
    <col min="13" max="16384" width="10.83203125" style="9"/>
  </cols>
  <sheetData>
    <row r="1" spans="1:11" ht="13" customHeight="1">
      <c r="A1" s="9" t="s">
        <v>272</v>
      </c>
      <c r="B1" s="8" t="s">
        <v>270</v>
      </c>
      <c r="C1" s="8" t="s">
        <v>269</v>
      </c>
      <c r="D1" s="8" t="s">
        <v>268</v>
      </c>
      <c r="E1" s="9" t="s">
        <v>267</v>
      </c>
    </row>
    <row r="2" spans="1:11" ht="14">
      <c r="A2" s="9">
        <v>1</v>
      </c>
      <c r="B2" s="3" t="s">
        <v>271</v>
      </c>
      <c r="C2" s="14">
        <v>2018</v>
      </c>
      <c r="D2" s="3">
        <v>278</v>
      </c>
      <c r="E2" s="9">
        <v>6</v>
      </c>
    </row>
    <row r="3" spans="1:11" ht="17">
      <c r="A3" s="9">
        <f>IF(B3="",A2,A2+1)</f>
        <v>1</v>
      </c>
      <c r="B3" s="3"/>
      <c r="C3" s="14">
        <v>2018</v>
      </c>
      <c r="D3" s="3">
        <v>281</v>
      </c>
      <c r="E3" s="9">
        <v>1</v>
      </c>
      <c r="H3" s="11">
        <v>1</v>
      </c>
      <c r="I3" s="12" t="s">
        <v>1</v>
      </c>
    </row>
    <row r="4" spans="1:11" ht="16">
      <c r="A4" s="9">
        <f t="shared" ref="A4:A67" si="0">IF(B4="",A3,A3+1)</f>
        <v>2</v>
      </c>
      <c r="B4" s="3" t="s">
        <v>2</v>
      </c>
      <c r="C4" s="14">
        <v>2017</v>
      </c>
      <c r="D4" s="3">
        <v>270</v>
      </c>
      <c r="E4" s="9">
        <v>4</v>
      </c>
      <c r="H4" s="11">
        <v>2</v>
      </c>
      <c r="I4" s="11" t="s">
        <v>209</v>
      </c>
    </row>
    <row r="5" spans="1:11" ht="16">
      <c r="A5" s="9">
        <f t="shared" si="0"/>
        <v>2</v>
      </c>
      <c r="B5" s="3"/>
      <c r="C5" s="14">
        <v>2017</v>
      </c>
      <c r="D5" s="3">
        <v>272</v>
      </c>
      <c r="E5" s="9">
        <v>1</v>
      </c>
      <c r="H5" s="11">
        <v>3</v>
      </c>
      <c r="I5" s="11" t="s">
        <v>208</v>
      </c>
      <c r="J5" s="13"/>
      <c r="K5" s="13"/>
    </row>
    <row r="6" spans="1:11" ht="16">
      <c r="A6" s="9">
        <f t="shared" si="0"/>
        <v>3</v>
      </c>
      <c r="B6" s="3" t="s">
        <v>4</v>
      </c>
      <c r="C6" s="14">
        <v>2015</v>
      </c>
      <c r="D6" s="3">
        <v>292</v>
      </c>
      <c r="E6" s="9">
        <v>4</v>
      </c>
      <c r="H6" s="11">
        <v>4</v>
      </c>
      <c r="I6" s="11" t="s">
        <v>245</v>
      </c>
      <c r="J6" s="13"/>
      <c r="K6" s="13"/>
    </row>
    <row r="7" spans="1:11" ht="16">
      <c r="A7" s="9">
        <f t="shared" si="0"/>
        <v>3</v>
      </c>
      <c r="B7" s="3"/>
      <c r="C7" s="14">
        <v>2015</v>
      </c>
      <c r="D7" s="3">
        <v>290</v>
      </c>
      <c r="E7" s="9">
        <v>1</v>
      </c>
      <c r="H7" s="11">
        <v>5</v>
      </c>
      <c r="I7" s="11" t="s">
        <v>217</v>
      </c>
      <c r="J7" s="13"/>
      <c r="K7" s="13"/>
    </row>
    <row r="8" spans="1:11" ht="16">
      <c r="A8" s="9">
        <f t="shared" si="0"/>
        <v>4</v>
      </c>
      <c r="B8" s="3" t="s">
        <v>6</v>
      </c>
      <c r="C8" s="14">
        <v>2015</v>
      </c>
      <c r="D8" s="3">
        <v>135</v>
      </c>
      <c r="E8" s="9">
        <v>4</v>
      </c>
      <c r="H8" s="11">
        <v>6</v>
      </c>
      <c r="I8" s="11" t="s">
        <v>246</v>
      </c>
      <c r="J8" s="13"/>
      <c r="K8" s="13"/>
    </row>
    <row r="9" spans="1:11" ht="16">
      <c r="A9" s="9">
        <f t="shared" si="0"/>
        <v>4</v>
      </c>
      <c r="B9" s="3"/>
      <c r="C9" s="14">
        <v>2015</v>
      </c>
      <c r="D9" s="3">
        <v>137</v>
      </c>
      <c r="E9" s="9">
        <v>1</v>
      </c>
      <c r="H9" s="11">
        <v>7</v>
      </c>
      <c r="I9" s="11" t="s">
        <v>248</v>
      </c>
      <c r="J9" s="13"/>
      <c r="K9" s="13"/>
    </row>
    <row r="10" spans="1:11" ht="16">
      <c r="A10" s="9">
        <f t="shared" si="0"/>
        <v>5</v>
      </c>
      <c r="B10" s="3" t="s">
        <v>7</v>
      </c>
      <c r="C10" s="14">
        <v>2017</v>
      </c>
      <c r="D10" s="3">
        <v>271</v>
      </c>
      <c r="E10" s="9">
        <v>4</v>
      </c>
      <c r="H10" s="11">
        <v>8</v>
      </c>
      <c r="I10" s="11" t="s">
        <v>247</v>
      </c>
      <c r="J10" s="13"/>
      <c r="K10" s="13"/>
    </row>
    <row r="11" spans="1:11" ht="16">
      <c r="A11" s="9">
        <f t="shared" si="0"/>
        <v>5</v>
      </c>
      <c r="B11" s="3"/>
      <c r="C11" s="14">
        <v>2017</v>
      </c>
      <c r="D11" s="3">
        <v>270</v>
      </c>
      <c r="E11" s="9">
        <v>1</v>
      </c>
      <c r="H11" s="11">
        <v>9</v>
      </c>
      <c r="I11" s="11" t="s">
        <v>216</v>
      </c>
      <c r="J11" s="13"/>
      <c r="K11" s="13"/>
    </row>
    <row r="12" spans="1:11" ht="16">
      <c r="A12" s="9">
        <f t="shared" si="0"/>
        <v>6</v>
      </c>
      <c r="B12" s="3" t="s">
        <v>8</v>
      </c>
      <c r="C12" s="14">
        <v>2016</v>
      </c>
      <c r="D12" s="3">
        <v>240</v>
      </c>
      <c r="E12" s="9">
        <v>4</v>
      </c>
      <c r="H12" s="11">
        <v>10</v>
      </c>
      <c r="I12" s="11" t="s">
        <v>215</v>
      </c>
      <c r="J12" s="13"/>
      <c r="K12" s="13"/>
    </row>
    <row r="13" spans="1:11" ht="16">
      <c r="A13" s="9">
        <f t="shared" si="0"/>
        <v>6</v>
      </c>
      <c r="B13" s="3"/>
      <c r="C13" s="14">
        <v>2016</v>
      </c>
      <c r="D13" s="3">
        <v>121</v>
      </c>
      <c r="E13" s="9">
        <v>1</v>
      </c>
      <c r="H13" s="11">
        <v>11</v>
      </c>
      <c r="I13" s="11" t="s">
        <v>213</v>
      </c>
      <c r="J13" s="13"/>
      <c r="K13" s="13"/>
    </row>
    <row r="14" spans="1:11" ht="16" customHeight="1">
      <c r="A14" s="9">
        <f t="shared" si="0"/>
        <v>7</v>
      </c>
      <c r="B14" s="3" t="s">
        <v>9</v>
      </c>
      <c r="C14" s="14">
        <v>2015</v>
      </c>
      <c r="D14" s="3">
        <v>210</v>
      </c>
      <c r="E14" s="9">
        <v>4</v>
      </c>
      <c r="H14" s="11">
        <v>12</v>
      </c>
      <c r="I14" s="11" t="s">
        <v>249</v>
      </c>
      <c r="J14" s="13"/>
      <c r="K14" s="13"/>
    </row>
    <row r="15" spans="1:11" ht="16">
      <c r="A15" s="9">
        <f t="shared" si="0"/>
        <v>7</v>
      </c>
      <c r="B15" s="3"/>
      <c r="C15" s="14">
        <v>2015</v>
      </c>
      <c r="D15" s="3">
        <v>208</v>
      </c>
      <c r="E15" s="9">
        <v>1</v>
      </c>
      <c r="H15" s="11">
        <v>13</v>
      </c>
      <c r="I15" s="11" t="s">
        <v>259</v>
      </c>
      <c r="J15" s="13"/>
      <c r="K15" s="13"/>
    </row>
    <row r="16" spans="1:11" ht="16">
      <c r="A16" s="9">
        <f t="shared" si="0"/>
        <v>8</v>
      </c>
      <c r="B16" s="3" t="s">
        <v>12</v>
      </c>
      <c r="C16" s="14">
        <v>2017</v>
      </c>
      <c r="D16" s="3">
        <v>279</v>
      </c>
      <c r="E16" s="9">
        <v>4</v>
      </c>
      <c r="H16" s="11">
        <v>14</v>
      </c>
      <c r="I16" s="11" t="s">
        <v>260</v>
      </c>
      <c r="J16" s="13"/>
      <c r="K16" s="13"/>
    </row>
    <row r="17" spans="1:11" ht="16">
      <c r="A17" s="9">
        <f t="shared" si="0"/>
        <v>8</v>
      </c>
      <c r="B17" s="3"/>
      <c r="C17" s="14">
        <v>2017</v>
      </c>
      <c r="D17" s="3">
        <v>277</v>
      </c>
      <c r="E17" s="9">
        <v>4</v>
      </c>
      <c r="H17" s="11">
        <v>15</v>
      </c>
      <c r="I17" s="11" t="s">
        <v>35</v>
      </c>
      <c r="J17" s="13"/>
      <c r="K17" s="13"/>
    </row>
    <row r="18" spans="1:11" ht="16">
      <c r="A18" s="9">
        <f t="shared" si="0"/>
        <v>8</v>
      </c>
      <c r="B18" s="3"/>
      <c r="C18" s="14">
        <v>2017</v>
      </c>
      <c r="D18" s="3">
        <v>278</v>
      </c>
      <c r="E18" s="9">
        <v>2</v>
      </c>
      <c r="H18" s="11">
        <v>16</v>
      </c>
      <c r="I18" s="11" t="s">
        <v>101</v>
      </c>
      <c r="J18" s="13"/>
      <c r="K18" s="13"/>
    </row>
    <row r="19" spans="1:11" ht="13" customHeight="1">
      <c r="A19" s="9">
        <f t="shared" si="0"/>
        <v>9</v>
      </c>
      <c r="B19" s="3" t="s">
        <v>16</v>
      </c>
      <c r="C19" s="14">
        <v>2015</v>
      </c>
      <c r="D19" s="3">
        <v>272</v>
      </c>
      <c r="E19" s="9">
        <v>4</v>
      </c>
      <c r="H19" s="11">
        <v>17</v>
      </c>
      <c r="I19" s="11" t="s">
        <v>211</v>
      </c>
      <c r="J19" s="13"/>
      <c r="K19" s="13"/>
    </row>
    <row r="20" spans="1:11" ht="16">
      <c r="A20" s="9">
        <f t="shared" si="0"/>
        <v>9</v>
      </c>
      <c r="B20" s="3"/>
      <c r="C20" s="14">
        <v>2015</v>
      </c>
      <c r="D20" s="3">
        <v>133</v>
      </c>
      <c r="E20" s="9">
        <v>1</v>
      </c>
      <c r="H20" s="13"/>
      <c r="J20" s="13"/>
      <c r="K20" s="13"/>
    </row>
    <row r="21" spans="1:11" ht="16">
      <c r="A21" s="9">
        <f t="shared" si="0"/>
        <v>10</v>
      </c>
      <c r="B21" s="3" t="s">
        <v>17</v>
      </c>
      <c r="C21" s="14">
        <v>2017</v>
      </c>
      <c r="D21" s="3">
        <v>388</v>
      </c>
      <c r="E21" s="9">
        <v>3</v>
      </c>
      <c r="H21" s="13"/>
      <c r="J21" s="13"/>
      <c r="K21" s="13"/>
    </row>
    <row r="22" spans="1:11" ht="13" customHeight="1">
      <c r="A22" s="9">
        <f t="shared" si="0"/>
        <v>10</v>
      </c>
      <c r="B22" s="3"/>
      <c r="C22" s="14">
        <v>2017</v>
      </c>
      <c r="D22" s="3">
        <v>361</v>
      </c>
      <c r="E22" s="9">
        <v>1</v>
      </c>
      <c r="H22" s="13"/>
      <c r="J22" s="13"/>
      <c r="K22" s="13"/>
    </row>
    <row r="23" spans="1:11" ht="16">
      <c r="A23" s="9">
        <f t="shared" si="0"/>
        <v>11</v>
      </c>
      <c r="B23" s="3" t="s">
        <v>19</v>
      </c>
      <c r="C23" s="14">
        <v>2018</v>
      </c>
      <c r="D23" s="3">
        <v>410</v>
      </c>
      <c r="E23" s="9">
        <v>6</v>
      </c>
      <c r="H23" s="13"/>
      <c r="J23" s="13"/>
      <c r="K23" s="13"/>
    </row>
    <row r="24" spans="1:11" ht="16">
      <c r="A24" s="9">
        <f t="shared" si="0"/>
        <v>11</v>
      </c>
      <c r="B24" s="3"/>
      <c r="C24" s="14">
        <v>2018</v>
      </c>
      <c r="D24" s="3">
        <v>206</v>
      </c>
      <c r="E24" s="9">
        <v>1</v>
      </c>
      <c r="H24" s="13"/>
      <c r="J24" s="13"/>
      <c r="K24" s="13"/>
    </row>
    <row r="25" spans="1:11" ht="16">
      <c r="A25" s="9">
        <f t="shared" si="0"/>
        <v>12</v>
      </c>
      <c r="B25" s="3" t="s">
        <v>21</v>
      </c>
      <c r="C25" s="14">
        <v>2019</v>
      </c>
      <c r="D25" s="3">
        <v>637</v>
      </c>
      <c r="E25" s="9">
        <v>4</v>
      </c>
      <c r="H25" s="13"/>
      <c r="J25" s="13"/>
      <c r="K25" s="13"/>
    </row>
    <row r="26" spans="1:11" ht="16">
      <c r="A26" s="9">
        <f t="shared" si="0"/>
        <v>12</v>
      </c>
      <c r="B26" s="3"/>
      <c r="C26" s="14">
        <v>2019</v>
      </c>
      <c r="D26" s="3">
        <v>637</v>
      </c>
      <c r="E26" s="9">
        <v>1</v>
      </c>
      <c r="H26" s="13"/>
      <c r="J26" s="13"/>
      <c r="K26" s="13"/>
    </row>
    <row r="27" spans="1:11" ht="16">
      <c r="A27" s="9">
        <f t="shared" si="0"/>
        <v>13</v>
      </c>
      <c r="B27" s="3" t="s">
        <v>23</v>
      </c>
      <c r="C27" s="14">
        <v>2017</v>
      </c>
      <c r="D27" s="3">
        <v>425</v>
      </c>
      <c r="E27" s="9">
        <v>9</v>
      </c>
      <c r="H27" s="13"/>
      <c r="J27" s="13"/>
      <c r="K27" s="13"/>
    </row>
    <row r="28" spans="1:11" ht="16">
      <c r="A28" s="9">
        <f t="shared" si="0"/>
        <v>13</v>
      </c>
      <c r="B28" s="3"/>
      <c r="C28" s="14">
        <v>2017</v>
      </c>
      <c r="D28" s="3">
        <v>425</v>
      </c>
      <c r="E28" s="9">
        <v>1</v>
      </c>
      <c r="H28" s="13"/>
      <c r="J28" s="13"/>
      <c r="K28" s="13"/>
    </row>
    <row r="29" spans="1:11" ht="13" customHeight="1">
      <c r="A29" s="9">
        <f t="shared" si="0"/>
        <v>14</v>
      </c>
      <c r="B29" s="3" t="s">
        <v>26</v>
      </c>
      <c r="C29" s="14">
        <v>2015</v>
      </c>
      <c r="D29" s="3">
        <v>475</v>
      </c>
      <c r="E29" s="9">
        <v>2</v>
      </c>
      <c r="H29" s="13"/>
      <c r="J29" s="13"/>
      <c r="K29" s="13"/>
    </row>
    <row r="30" spans="1:11" ht="16">
      <c r="A30" s="9">
        <f t="shared" si="0"/>
        <v>14</v>
      </c>
      <c r="B30" s="3"/>
      <c r="C30" s="14">
        <v>2015</v>
      </c>
      <c r="D30" s="3">
        <v>476</v>
      </c>
      <c r="E30" s="9">
        <v>15</v>
      </c>
      <c r="H30" s="13"/>
      <c r="J30" s="13"/>
      <c r="K30" s="13"/>
    </row>
    <row r="31" spans="1:11" ht="16">
      <c r="A31" s="9">
        <f t="shared" si="0"/>
        <v>15</v>
      </c>
      <c r="B31" s="3" t="s">
        <v>29</v>
      </c>
      <c r="C31" s="14">
        <v>2019</v>
      </c>
      <c r="D31" s="3">
        <v>183</v>
      </c>
      <c r="E31" s="9">
        <v>11</v>
      </c>
      <c r="H31" s="13"/>
      <c r="J31" s="13"/>
      <c r="K31" s="13"/>
    </row>
    <row r="32" spans="1:11" ht="16">
      <c r="A32" s="9">
        <f t="shared" si="0"/>
        <v>15</v>
      </c>
      <c r="B32" s="3"/>
      <c r="C32" s="14">
        <v>2019</v>
      </c>
      <c r="D32" s="3">
        <v>90</v>
      </c>
      <c r="E32" s="9">
        <v>9</v>
      </c>
      <c r="H32" s="13"/>
      <c r="J32" s="13"/>
      <c r="K32" s="13"/>
    </row>
    <row r="33" spans="1:11" ht="16">
      <c r="A33" s="9">
        <f t="shared" si="0"/>
        <v>15</v>
      </c>
      <c r="B33" s="3"/>
      <c r="C33" s="14">
        <v>2019</v>
      </c>
      <c r="D33" s="3">
        <v>90</v>
      </c>
      <c r="E33" s="9">
        <v>16</v>
      </c>
      <c r="H33" s="13"/>
      <c r="J33" s="13"/>
      <c r="K33" s="13"/>
    </row>
    <row r="34" spans="1:11" ht="13" customHeight="1">
      <c r="A34" s="9">
        <f t="shared" si="0"/>
        <v>16</v>
      </c>
      <c r="B34" s="3" t="s">
        <v>32</v>
      </c>
      <c r="C34" s="14">
        <v>2018</v>
      </c>
      <c r="D34" s="3">
        <v>296</v>
      </c>
      <c r="E34" s="9">
        <v>4</v>
      </c>
      <c r="H34" s="13"/>
      <c r="J34" s="13"/>
      <c r="K34" s="13"/>
    </row>
    <row r="35" spans="1:11" ht="16">
      <c r="A35" s="9">
        <f t="shared" si="0"/>
        <v>16</v>
      </c>
      <c r="B35" s="3"/>
      <c r="C35" s="14">
        <v>2018</v>
      </c>
      <c r="D35" s="3">
        <v>296</v>
      </c>
      <c r="E35" s="9">
        <v>1</v>
      </c>
      <c r="H35" s="13"/>
      <c r="J35" s="13"/>
      <c r="K35" s="13"/>
    </row>
    <row r="36" spans="1:11" ht="16">
      <c r="A36" s="9">
        <f t="shared" si="0"/>
        <v>17</v>
      </c>
      <c r="B36" s="3" t="s">
        <v>34</v>
      </c>
      <c r="C36" s="14">
        <v>2017</v>
      </c>
      <c r="D36" s="3">
        <v>330</v>
      </c>
      <c r="E36" s="9">
        <v>4</v>
      </c>
      <c r="H36" s="13"/>
      <c r="J36" s="13"/>
      <c r="K36" s="13"/>
    </row>
    <row r="37" spans="1:11" ht="16">
      <c r="A37" s="9">
        <f t="shared" si="0"/>
        <v>17</v>
      </c>
      <c r="B37" s="3"/>
      <c r="C37" s="14">
        <v>2017</v>
      </c>
      <c r="D37" s="3">
        <v>163</v>
      </c>
      <c r="E37" s="9">
        <v>15</v>
      </c>
      <c r="H37" s="13"/>
      <c r="J37" s="13"/>
      <c r="K37" s="13"/>
    </row>
    <row r="38" spans="1:11" ht="16">
      <c r="A38" s="9">
        <f t="shared" si="0"/>
        <v>18</v>
      </c>
      <c r="B38" s="3" t="s">
        <v>36</v>
      </c>
      <c r="C38" s="14">
        <v>2020</v>
      </c>
      <c r="D38" s="3">
        <v>278</v>
      </c>
      <c r="E38" s="9">
        <v>4</v>
      </c>
      <c r="H38" s="13"/>
      <c r="J38" s="13"/>
      <c r="K38" s="13"/>
    </row>
    <row r="39" spans="1:11" ht="16">
      <c r="A39" s="9">
        <f t="shared" si="0"/>
        <v>18</v>
      </c>
      <c r="B39" s="3"/>
      <c r="C39" s="14">
        <v>2020</v>
      </c>
      <c r="D39" s="3">
        <v>135</v>
      </c>
      <c r="E39" s="9">
        <v>15</v>
      </c>
      <c r="H39" s="13"/>
      <c r="J39" s="13"/>
      <c r="K39" s="13"/>
    </row>
    <row r="40" spans="1:11" ht="16" customHeight="1">
      <c r="A40" s="9">
        <f t="shared" si="0"/>
        <v>19</v>
      </c>
      <c r="B40" s="3" t="s">
        <v>37</v>
      </c>
      <c r="C40" s="14">
        <v>2019</v>
      </c>
      <c r="D40" s="3">
        <v>247</v>
      </c>
      <c r="E40" s="9">
        <v>4</v>
      </c>
      <c r="H40" s="13"/>
      <c r="J40" s="13"/>
      <c r="K40" s="13"/>
    </row>
    <row r="41" spans="1:11" ht="16">
      <c r="A41" s="9">
        <f t="shared" si="0"/>
        <v>19</v>
      </c>
      <c r="B41" s="3"/>
      <c r="C41" s="14">
        <v>2019</v>
      </c>
      <c r="D41" s="3">
        <v>248</v>
      </c>
      <c r="E41" s="9">
        <v>15</v>
      </c>
      <c r="H41" s="13"/>
      <c r="J41" s="13"/>
      <c r="K41" s="13"/>
    </row>
    <row r="42" spans="1:11" ht="13" customHeight="1">
      <c r="A42" s="9">
        <f t="shared" si="0"/>
        <v>20</v>
      </c>
      <c r="B42" s="3" t="s">
        <v>38</v>
      </c>
      <c r="C42" s="14">
        <v>2020</v>
      </c>
      <c r="D42" s="3">
        <v>240</v>
      </c>
      <c r="E42" s="9">
        <v>9</v>
      </c>
      <c r="H42" s="13"/>
      <c r="J42" s="13"/>
      <c r="K42" s="13"/>
    </row>
    <row r="43" spans="1:11" ht="16">
      <c r="A43" s="9">
        <f t="shared" si="0"/>
        <v>20</v>
      </c>
      <c r="B43" s="3"/>
      <c r="C43" s="14">
        <v>2020</v>
      </c>
      <c r="D43" s="3">
        <v>247</v>
      </c>
      <c r="E43" s="9">
        <v>13</v>
      </c>
      <c r="H43" s="13"/>
      <c r="J43" s="13"/>
      <c r="K43" s="13"/>
    </row>
    <row r="44" spans="1:11" ht="13" customHeight="1">
      <c r="A44" s="9">
        <f t="shared" si="0"/>
        <v>20</v>
      </c>
      <c r="B44" s="3"/>
      <c r="C44" s="14">
        <v>2020</v>
      </c>
      <c r="D44" s="3">
        <v>249</v>
      </c>
      <c r="E44" s="9">
        <v>1</v>
      </c>
      <c r="H44" s="13"/>
      <c r="J44" s="13"/>
      <c r="K44" s="13"/>
    </row>
    <row r="45" spans="1:11" ht="16">
      <c r="A45" s="9">
        <f t="shared" si="0"/>
        <v>21</v>
      </c>
      <c r="B45" s="3" t="s">
        <v>41</v>
      </c>
      <c r="C45" s="14">
        <v>2020</v>
      </c>
      <c r="D45" s="3">
        <v>163</v>
      </c>
      <c r="E45" s="9">
        <v>9</v>
      </c>
      <c r="H45" s="13"/>
      <c r="J45" s="13"/>
      <c r="K45" s="13"/>
    </row>
    <row r="46" spans="1:11" ht="16" customHeight="1">
      <c r="A46" s="9">
        <f t="shared" si="0"/>
        <v>21</v>
      </c>
      <c r="B46" s="3"/>
      <c r="C46" s="14">
        <v>2020</v>
      </c>
      <c r="D46" s="3">
        <v>163</v>
      </c>
      <c r="E46" s="9">
        <v>13</v>
      </c>
      <c r="H46" s="13"/>
      <c r="J46" s="13"/>
      <c r="K46" s="13"/>
    </row>
    <row r="47" spans="1:11" ht="16">
      <c r="A47" s="9">
        <f t="shared" si="0"/>
        <v>21</v>
      </c>
      <c r="B47" s="3"/>
      <c r="C47" s="14">
        <v>2020</v>
      </c>
      <c r="D47" s="3">
        <v>163</v>
      </c>
      <c r="E47" s="9">
        <v>1</v>
      </c>
      <c r="H47" s="13"/>
      <c r="J47" s="13"/>
      <c r="K47" s="13"/>
    </row>
    <row r="48" spans="1:11" ht="16">
      <c r="A48" s="9">
        <f t="shared" si="0"/>
        <v>22</v>
      </c>
      <c r="B48" s="3" t="s">
        <v>44</v>
      </c>
      <c r="C48" s="14">
        <v>2017</v>
      </c>
      <c r="D48" s="3">
        <v>453</v>
      </c>
      <c r="E48" s="9">
        <v>4</v>
      </c>
      <c r="H48" s="13"/>
      <c r="J48" s="13"/>
      <c r="K48" s="13"/>
    </row>
    <row r="49" spans="1:11" ht="16">
      <c r="A49" s="9">
        <f t="shared" si="0"/>
        <v>22</v>
      </c>
      <c r="B49" s="3"/>
      <c r="C49" s="14">
        <v>2017</v>
      </c>
      <c r="D49" s="3">
        <v>453</v>
      </c>
      <c r="E49" s="9">
        <v>2</v>
      </c>
      <c r="H49" s="13"/>
      <c r="J49" s="13"/>
      <c r="K49" s="13"/>
    </row>
    <row r="50" spans="1:11" ht="16">
      <c r="A50" s="9">
        <f t="shared" si="0"/>
        <v>23</v>
      </c>
      <c r="B50" s="3" t="s">
        <v>45</v>
      </c>
      <c r="C50" s="14">
        <v>2017</v>
      </c>
      <c r="D50" s="3">
        <v>314</v>
      </c>
      <c r="E50" s="9">
        <v>7</v>
      </c>
      <c r="H50" s="13"/>
      <c r="J50" s="13"/>
      <c r="K50" s="13"/>
    </row>
    <row r="51" spans="1:11" ht="16">
      <c r="A51" s="9">
        <f t="shared" si="0"/>
        <v>23</v>
      </c>
      <c r="B51" s="3"/>
      <c r="C51" s="14">
        <v>2017</v>
      </c>
      <c r="D51" s="3">
        <v>316</v>
      </c>
      <c r="E51" s="9">
        <v>4</v>
      </c>
      <c r="H51" s="13"/>
      <c r="J51" s="13"/>
      <c r="K51" s="13"/>
    </row>
    <row r="52" spans="1:11" ht="16">
      <c r="A52" s="9">
        <f t="shared" si="0"/>
        <v>23</v>
      </c>
      <c r="B52" s="3"/>
      <c r="C52" s="14">
        <v>2017</v>
      </c>
      <c r="D52" s="3">
        <v>315</v>
      </c>
      <c r="E52" s="9">
        <v>2</v>
      </c>
      <c r="H52" s="13"/>
      <c r="J52" s="13"/>
      <c r="K52" s="13"/>
    </row>
    <row r="53" spans="1:11" ht="16">
      <c r="A53" s="9">
        <f t="shared" si="0"/>
        <v>24</v>
      </c>
      <c r="B53" s="3" t="s">
        <v>47</v>
      </c>
      <c r="C53" s="14">
        <v>2018</v>
      </c>
      <c r="D53" s="3">
        <v>514</v>
      </c>
      <c r="E53" s="9">
        <v>4</v>
      </c>
      <c r="H53" s="13"/>
      <c r="J53" s="13"/>
      <c r="K53" s="13"/>
    </row>
    <row r="54" spans="1:11" ht="16">
      <c r="A54" s="9">
        <f t="shared" si="0"/>
        <v>24</v>
      </c>
      <c r="B54" s="3"/>
      <c r="C54" s="14">
        <v>2018</v>
      </c>
      <c r="D54" s="3">
        <v>505</v>
      </c>
      <c r="E54" s="9">
        <v>15</v>
      </c>
      <c r="H54" s="13"/>
      <c r="J54" s="13"/>
      <c r="K54" s="13"/>
    </row>
    <row r="55" spans="1:11" ht="16">
      <c r="A55" s="9">
        <f t="shared" si="0"/>
        <v>25</v>
      </c>
      <c r="B55" s="3" t="s">
        <v>48</v>
      </c>
      <c r="C55" s="14">
        <v>2019</v>
      </c>
      <c r="D55" s="3">
        <v>354</v>
      </c>
      <c r="E55" s="9">
        <v>5</v>
      </c>
      <c r="H55" s="13"/>
      <c r="J55" s="13"/>
      <c r="K55" s="13"/>
    </row>
    <row r="56" spans="1:11" ht="16">
      <c r="A56" s="9">
        <f t="shared" si="0"/>
        <v>25</v>
      </c>
      <c r="B56" s="3"/>
      <c r="C56" s="14">
        <v>2019</v>
      </c>
      <c r="D56" s="3">
        <v>352</v>
      </c>
      <c r="E56" s="9">
        <v>4</v>
      </c>
      <c r="H56" s="13"/>
      <c r="J56" s="13"/>
      <c r="K56" s="13"/>
    </row>
    <row r="57" spans="1:11" ht="16">
      <c r="A57" s="9">
        <f t="shared" si="0"/>
        <v>26</v>
      </c>
      <c r="B57" s="3" t="s">
        <v>51</v>
      </c>
      <c r="C57" s="14">
        <v>2017</v>
      </c>
      <c r="D57" s="3">
        <v>476</v>
      </c>
      <c r="E57" s="9">
        <v>9</v>
      </c>
      <c r="H57" s="13"/>
      <c r="J57" s="13"/>
      <c r="K57" s="13"/>
    </row>
    <row r="58" spans="1:11" ht="16">
      <c r="A58" s="9">
        <f t="shared" si="0"/>
        <v>26</v>
      </c>
      <c r="B58" s="3"/>
      <c r="C58" s="14">
        <v>2017</v>
      </c>
      <c r="D58" s="3">
        <v>237</v>
      </c>
      <c r="E58" s="9">
        <v>15</v>
      </c>
      <c r="H58" s="13"/>
      <c r="J58" s="13"/>
      <c r="K58" s="13"/>
    </row>
    <row r="59" spans="1:11" ht="16">
      <c r="A59" s="9">
        <f t="shared" si="0"/>
        <v>27</v>
      </c>
      <c r="B59" s="3" t="s">
        <v>52</v>
      </c>
      <c r="C59" s="14">
        <v>2018</v>
      </c>
      <c r="D59" s="3">
        <v>185</v>
      </c>
      <c r="E59" s="9">
        <v>9</v>
      </c>
      <c r="H59" s="13"/>
      <c r="J59" s="13"/>
      <c r="K59" s="13"/>
    </row>
    <row r="60" spans="1:11" ht="16">
      <c r="A60" s="9">
        <f t="shared" si="0"/>
        <v>27</v>
      </c>
      <c r="B60" s="3"/>
      <c r="C60" s="14">
        <v>2018</v>
      </c>
      <c r="D60" s="3">
        <v>186</v>
      </c>
      <c r="E60" s="9">
        <v>1</v>
      </c>
      <c r="H60" s="13"/>
      <c r="J60" s="13"/>
      <c r="K60" s="13"/>
    </row>
    <row r="61" spans="1:11" ht="16">
      <c r="A61" s="9">
        <f t="shared" si="0"/>
        <v>28</v>
      </c>
      <c r="B61" s="3" t="s">
        <v>54</v>
      </c>
      <c r="C61" s="14">
        <v>2018</v>
      </c>
      <c r="D61" s="3">
        <v>583</v>
      </c>
      <c r="E61" s="9">
        <v>7</v>
      </c>
      <c r="H61" s="13"/>
      <c r="J61" s="13"/>
      <c r="K61" s="13"/>
    </row>
    <row r="62" spans="1:11" ht="16">
      <c r="A62" s="9">
        <f t="shared" si="0"/>
        <v>28</v>
      </c>
      <c r="B62" s="3"/>
      <c r="C62" s="14">
        <v>2018</v>
      </c>
      <c r="D62" s="3">
        <v>396</v>
      </c>
      <c r="E62" s="9">
        <v>4</v>
      </c>
      <c r="H62" s="13"/>
      <c r="J62" s="13"/>
      <c r="K62" s="13"/>
    </row>
    <row r="63" spans="1:11" ht="16">
      <c r="A63" s="9">
        <f t="shared" si="0"/>
        <v>28</v>
      </c>
      <c r="B63" s="3"/>
      <c r="C63" s="14">
        <v>2018</v>
      </c>
      <c r="D63" s="3">
        <v>583</v>
      </c>
      <c r="E63" s="9">
        <v>1</v>
      </c>
      <c r="H63" s="13"/>
      <c r="J63" s="13"/>
      <c r="K63" s="13"/>
    </row>
    <row r="64" spans="1:11" ht="16">
      <c r="A64" s="9">
        <f t="shared" si="0"/>
        <v>29</v>
      </c>
      <c r="B64" s="3" t="s">
        <v>56</v>
      </c>
      <c r="C64" s="14">
        <v>2019</v>
      </c>
      <c r="D64" s="3">
        <v>338</v>
      </c>
      <c r="E64" s="9">
        <v>4</v>
      </c>
      <c r="H64" s="13"/>
      <c r="J64" s="13"/>
      <c r="K64" s="13"/>
    </row>
    <row r="65" spans="1:11" ht="16">
      <c r="A65" s="9">
        <f t="shared" si="0"/>
        <v>29</v>
      </c>
      <c r="B65" s="3"/>
      <c r="C65" s="14">
        <v>2019</v>
      </c>
      <c r="D65" s="3">
        <v>166</v>
      </c>
      <c r="E65" s="9">
        <v>1</v>
      </c>
      <c r="H65" s="13"/>
      <c r="J65" s="13"/>
      <c r="K65" s="13"/>
    </row>
    <row r="66" spans="1:11" ht="16">
      <c r="A66" s="9">
        <f t="shared" si="0"/>
        <v>30</v>
      </c>
      <c r="B66" s="3" t="s">
        <v>58</v>
      </c>
      <c r="C66" s="14">
        <v>2016</v>
      </c>
      <c r="D66" s="3">
        <v>478</v>
      </c>
      <c r="E66" s="9">
        <v>3</v>
      </c>
      <c r="H66" s="13"/>
      <c r="J66" s="13"/>
      <c r="K66" s="13"/>
    </row>
    <row r="67" spans="1:11" ht="16">
      <c r="A67" s="9">
        <f t="shared" si="0"/>
        <v>30</v>
      </c>
      <c r="B67" s="3"/>
      <c r="C67" s="14">
        <v>2016</v>
      </c>
      <c r="D67" s="3">
        <v>476</v>
      </c>
      <c r="E67" s="9">
        <v>1</v>
      </c>
      <c r="H67" s="13"/>
      <c r="J67" s="13"/>
      <c r="K67" s="13"/>
    </row>
    <row r="68" spans="1:11" ht="13" customHeight="1">
      <c r="A68" s="9">
        <f t="shared" ref="A68:A131" si="1">IF(B68="",A67,A67+1)</f>
        <v>31</v>
      </c>
      <c r="B68" s="3" t="s">
        <v>60</v>
      </c>
      <c r="C68" s="14">
        <v>2020</v>
      </c>
      <c r="D68" s="3">
        <v>784</v>
      </c>
      <c r="E68" s="9">
        <v>6</v>
      </c>
      <c r="H68" s="13"/>
      <c r="J68" s="13"/>
      <c r="K68" s="13"/>
    </row>
    <row r="69" spans="1:11" ht="16">
      <c r="A69" s="9">
        <f t="shared" si="1"/>
        <v>31</v>
      </c>
      <c r="B69" s="3"/>
      <c r="C69" s="14">
        <v>2020</v>
      </c>
      <c r="D69" s="3">
        <v>390</v>
      </c>
      <c r="E69" s="9">
        <v>1</v>
      </c>
      <c r="H69" s="13"/>
      <c r="J69" s="13"/>
      <c r="K69" s="13"/>
    </row>
    <row r="70" spans="1:11" ht="16">
      <c r="A70" s="9">
        <f t="shared" si="1"/>
        <v>32</v>
      </c>
      <c r="B70" s="3" t="s">
        <v>61</v>
      </c>
      <c r="C70" s="14">
        <v>2019</v>
      </c>
      <c r="D70" s="3">
        <v>432</v>
      </c>
      <c r="E70" s="9">
        <v>5</v>
      </c>
      <c r="H70" s="13"/>
      <c r="J70" s="13"/>
      <c r="K70" s="13"/>
    </row>
    <row r="71" spans="1:11" ht="16">
      <c r="A71" s="9">
        <f t="shared" si="1"/>
        <v>32</v>
      </c>
      <c r="B71" s="3"/>
      <c r="C71" s="14">
        <v>2019</v>
      </c>
      <c r="D71" s="3">
        <v>429</v>
      </c>
      <c r="E71" s="9">
        <v>16</v>
      </c>
      <c r="H71" s="13"/>
      <c r="J71" s="13"/>
      <c r="K71" s="13"/>
    </row>
    <row r="72" spans="1:11" ht="16">
      <c r="A72" s="9">
        <f t="shared" si="1"/>
        <v>33</v>
      </c>
      <c r="B72" s="3" t="s">
        <v>64</v>
      </c>
      <c r="C72" s="14">
        <v>2020</v>
      </c>
      <c r="D72" s="3">
        <v>451</v>
      </c>
      <c r="E72" s="9">
        <v>10</v>
      </c>
      <c r="H72" s="13"/>
      <c r="J72" s="13"/>
      <c r="K72" s="13"/>
    </row>
    <row r="73" spans="1:11" ht="16">
      <c r="A73" s="9">
        <f t="shared" si="1"/>
        <v>33</v>
      </c>
      <c r="B73" s="3"/>
      <c r="C73" s="14">
        <v>2020</v>
      </c>
      <c r="D73" s="3">
        <v>451</v>
      </c>
      <c r="E73" s="9">
        <v>1</v>
      </c>
      <c r="H73" s="13"/>
      <c r="J73" s="13"/>
      <c r="K73" s="13"/>
    </row>
    <row r="74" spans="1:11" ht="16">
      <c r="A74" s="9">
        <f t="shared" si="1"/>
        <v>34</v>
      </c>
      <c r="B74" s="3" t="s">
        <v>66</v>
      </c>
      <c r="C74" s="14">
        <v>2018</v>
      </c>
      <c r="D74" s="3">
        <v>400</v>
      </c>
      <c r="E74" s="9">
        <v>12</v>
      </c>
      <c r="H74" s="13"/>
      <c r="J74" s="13"/>
      <c r="K74" s="13"/>
    </row>
    <row r="75" spans="1:11" ht="16">
      <c r="A75" s="9">
        <f t="shared" si="1"/>
        <v>34</v>
      </c>
      <c r="B75" s="3"/>
      <c r="C75" s="14">
        <v>2018</v>
      </c>
      <c r="D75" s="3">
        <v>400</v>
      </c>
      <c r="E75" s="9">
        <v>17</v>
      </c>
      <c r="H75" s="13"/>
      <c r="J75" s="13"/>
      <c r="K75" s="13"/>
    </row>
    <row r="76" spans="1:11" ht="16">
      <c r="A76" s="9">
        <f t="shared" si="1"/>
        <v>35</v>
      </c>
      <c r="B76" s="3" t="s">
        <v>68</v>
      </c>
      <c r="C76" s="14">
        <v>2019</v>
      </c>
      <c r="D76" s="3">
        <v>314</v>
      </c>
      <c r="E76" s="9">
        <v>4</v>
      </c>
      <c r="H76" s="13"/>
      <c r="J76" s="13"/>
      <c r="K76" s="13"/>
    </row>
    <row r="77" spans="1:11" ht="16">
      <c r="A77" s="9">
        <f t="shared" si="1"/>
        <v>35</v>
      </c>
      <c r="B77" s="3"/>
      <c r="C77" s="14">
        <v>2019</v>
      </c>
      <c r="D77" s="3">
        <v>314</v>
      </c>
      <c r="E77" s="9">
        <v>1</v>
      </c>
      <c r="H77" s="13"/>
      <c r="J77" s="13"/>
      <c r="K77" s="13"/>
    </row>
    <row r="78" spans="1:11" ht="16">
      <c r="A78" s="9">
        <f t="shared" si="1"/>
        <v>36</v>
      </c>
      <c r="B78" s="3" t="s">
        <v>69</v>
      </c>
      <c r="C78" s="14">
        <v>2020</v>
      </c>
      <c r="D78" s="3">
        <v>336</v>
      </c>
      <c r="E78" s="9">
        <v>11</v>
      </c>
      <c r="H78" s="13"/>
      <c r="J78" s="13"/>
      <c r="K78" s="13"/>
    </row>
    <row r="79" spans="1:11" ht="16">
      <c r="A79" s="9">
        <f t="shared" si="1"/>
        <v>36</v>
      </c>
      <c r="B79" s="3"/>
      <c r="C79" s="14">
        <v>2020</v>
      </c>
      <c r="D79" s="3">
        <v>165</v>
      </c>
      <c r="E79" s="9">
        <v>16</v>
      </c>
      <c r="H79" s="13"/>
      <c r="J79" s="13"/>
      <c r="K79" s="13"/>
    </row>
    <row r="80" spans="1:11" ht="16">
      <c r="A80" s="9">
        <f t="shared" si="1"/>
        <v>37</v>
      </c>
      <c r="B80" s="3" t="s">
        <v>72</v>
      </c>
      <c r="C80" s="14">
        <v>2019</v>
      </c>
      <c r="D80" s="3">
        <v>17</v>
      </c>
      <c r="E80" s="9">
        <v>16</v>
      </c>
      <c r="H80" s="13"/>
      <c r="J80" s="13"/>
      <c r="K80" s="13"/>
    </row>
    <row r="81" spans="1:11" ht="16">
      <c r="A81" s="9">
        <f t="shared" si="1"/>
        <v>37</v>
      </c>
      <c r="B81" s="3"/>
      <c r="C81" s="14">
        <v>2019</v>
      </c>
      <c r="D81" s="3">
        <v>12</v>
      </c>
      <c r="E81" s="9">
        <v>11</v>
      </c>
      <c r="H81" s="13"/>
      <c r="J81" s="13"/>
      <c r="K81" s="13"/>
    </row>
    <row r="82" spans="1:11" ht="16">
      <c r="A82" s="9">
        <f t="shared" si="1"/>
        <v>38</v>
      </c>
      <c r="B82" s="3" t="s">
        <v>76</v>
      </c>
      <c r="C82" s="14">
        <v>2020</v>
      </c>
      <c r="D82" s="3">
        <v>184</v>
      </c>
      <c r="E82" s="9">
        <v>4</v>
      </c>
      <c r="H82" s="13"/>
      <c r="J82" s="13"/>
      <c r="K82" s="13"/>
    </row>
    <row r="83" spans="1:11" ht="16">
      <c r="A83" s="9">
        <f t="shared" si="1"/>
        <v>38</v>
      </c>
      <c r="B83" s="3"/>
      <c r="C83" s="14">
        <v>2020</v>
      </c>
      <c r="D83" s="3">
        <v>185</v>
      </c>
      <c r="E83" s="9">
        <v>16</v>
      </c>
      <c r="H83" s="13"/>
      <c r="J83" s="13"/>
      <c r="K83" s="13"/>
    </row>
    <row r="84" spans="1:11" ht="18" customHeight="1">
      <c r="A84" s="9">
        <f t="shared" si="1"/>
        <v>39</v>
      </c>
      <c r="B84" s="4" t="s">
        <v>78</v>
      </c>
      <c r="C84" s="14">
        <v>2019</v>
      </c>
      <c r="D84" s="3">
        <v>154</v>
      </c>
      <c r="E84" s="9">
        <v>4</v>
      </c>
      <c r="H84" s="13"/>
      <c r="J84" s="13"/>
      <c r="K84" s="13"/>
    </row>
    <row r="85" spans="1:11" ht="16">
      <c r="A85" s="9">
        <f t="shared" si="1"/>
        <v>39</v>
      </c>
      <c r="B85" s="4"/>
      <c r="C85" s="14">
        <v>2019</v>
      </c>
      <c r="D85" s="3">
        <v>151</v>
      </c>
      <c r="E85" s="9">
        <v>1</v>
      </c>
      <c r="H85" s="13"/>
      <c r="J85" s="13"/>
      <c r="K85" s="13"/>
    </row>
    <row r="86" spans="1:11" ht="16">
      <c r="A86" s="9">
        <f t="shared" si="1"/>
        <v>40</v>
      </c>
      <c r="B86" s="4" t="s">
        <v>79</v>
      </c>
      <c r="C86" s="14">
        <v>2018</v>
      </c>
      <c r="D86" s="3">
        <v>201</v>
      </c>
      <c r="E86" s="9">
        <v>10</v>
      </c>
      <c r="H86" s="13"/>
      <c r="J86" s="13"/>
      <c r="K86" s="13"/>
    </row>
    <row r="87" spans="1:11" ht="16">
      <c r="A87" s="9">
        <f t="shared" si="1"/>
        <v>40</v>
      </c>
      <c r="B87" s="4"/>
      <c r="C87" s="14">
        <v>2018</v>
      </c>
      <c r="D87" s="3">
        <v>202</v>
      </c>
      <c r="E87" s="9">
        <v>1</v>
      </c>
      <c r="H87" s="13"/>
      <c r="J87" s="13"/>
      <c r="K87" s="13"/>
    </row>
    <row r="88" spans="1:11" ht="16">
      <c r="A88" s="9">
        <f t="shared" si="1"/>
        <v>41</v>
      </c>
      <c r="B88" s="4" t="s">
        <v>80</v>
      </c>
      <c r="C88" s="14">
        <v>2019</v>
      </c>
      <c r="D88" s="3">
        <v>442</v>
      </c>
      <c r="E88" s="9">
        <v>11</v>
      </c>
      <c r="H88" s="13"/>
      <c r="J88" s="13"/>
      <c r="K88" s="13"/>
    </row>
    <row r="89" spans="1:11" ht="16">
      <c r="A89" s="9">
        <f t="shared" si="1"/>
        <v>41</v>
      </c>
      <c r="B89" s="4"/>
      <c r="C89" s="14">
        <v>2019</v>
      </c>
      <c r="D89" s="3">
        <v>444</v>
      </c>
      <c r="E89" s="9">
        <v>16</v>
      </c>
      <c r="H89" s="13"/>
      <c r="J89" s="13"/>
      <c r="K89" s="13"/>
    </row>
    <row r="90" spans="1:11" ht="16">
      <c r="A90" s="9">
        <f t="shared" si="1"/>
        <v>42</v>
      </c>
      <c r="B90" s="4" t="s">
        <v>83</v>
      </c>
      <c r="C90" s="14">
        <v>2020</v>
      </c>
      <c r="D90" s="4">
        <v>338</v>
      </c>
      <c r="E90" s="9">
        <v>10</v>
      </c>
      <c r="H90" s="13"/>
      <c r="J90" s="13"/>
      <c r="K90" s="13"/>
    </row>
    <row r="91" spans="1:11" ht="16">
      <c r="A91" s="9">
        <f t="shared" si="1"/>
        <v>42</v>
      </c>
      <c r="B91" s="4"/>
      <c r="C91" s="14">
        <v>2020</v>
      </c>
      <c r="D91" s="4">
        <v>343</v>
      </c>
      <c r="E91" s="9">
        <v>10</v>
      </c>
      <c r="H91" s="13"/>
      <c r="J91" s="13"/>
      <c r="K91" s="13"/>
    </row>
    <row r="92" spans="1:11" ht="16">
      <c r="A92" s="9">
        <f t="shared" si="1"/>
        <v>42</v>
      </c>
      <c r="B92" s="4"/>
      <c r="C92" s="14">
        <v>2020</v>
      </c>
      <c r="D92" s="4">
        <v>340</v>
      </c>
      <c r="E92" s="9">
        <v>1</v>
      </c>
      <c r="H92" s="13"/>
      <c r="J92" s="13"/>
      <c r="K92" s="13"/>
    </row>
    <row r="93" spans="1:11" ht="16">
      <c r="A93" s="9">
        <f t="shared" si="1"/>
        <v>43</v>
      </c>
      <c r="B93" s="4" t="s">
        <v>87</v>
      </c>
      <c r="C93" s="14">
        <v>2021</v>
      </c>
      <c r="D93" s="4">
        <v>279</v>
      </c>
      <c r="E93" s="9">
        <v>7</v>
      </c>
      <c r="H93" s="13"/>
      <c r="J93" s="13"/>
      <c r="K93" s="13"/>
    </row>
    <row r="94" spans="1:11" ht="16">
      <c r="A94" s="9">
        <f t="shared" si="1"/>
        <v>43</v>
      </c>
      <c r="B94" s="4"/>
      <c r="C94" s="14">
        <v>2021</v>
      </c>
      <c r="D94" s="4">
        <v>280</v>
      </c>
      <c r="E94" s="9">
        <v>4</v>
      </c>
      <c r="H94" s="13"/>
      <c r="J94" s="13"/>
      <c r="K94" s="13"/>
    </row>
    <row r="95" spans="1:11" ht="16">
      <c r="A95" s="9">
        <f t="shared" si="1"/>
        <v>43</v>
      </c>
      <c r="B95" s="4"/>
      <c r="C95" s="14">
        <v>2021</v>
      </c>
      <c r="D95" s="4">
        <v>275</v>
      </c>
      <c r="E95" s="9">
        <v>15</v>
      </c>
      <c r="H95" s="13"/>
      <c r="J95" s="13"/>
      <c r="K95" s="13"/>
    </row>
    <row r="96" spans="1:11" ht="16">
      <c r="A96" s="9">
        <f t="shared" si="1"/>
        <v>44</v>
      </c>
      <c r="B96" s="4" t="s">
        <v>88</v>
      </c>
      <c r="C96" s="4"/>
      <c r="D96" s="4">
        <v>282</v>
      </c>
      <c r="E96" s="9">
        <v>4</v>
      </c>
      <c r="H96" s="13"/>
      <c r="J96" s="13"/>
      <c r="K96" s="13"/>
    </row>
    <row r="97" spans="1:11" ht="16">
      <c r="A97" s="9">
        <f t="shared" si="1"/>
        <v>44</v>
      </c>
      <c r="B97" s="4"/>
      <c r="C97" s="4"/>
      <c r="D97" s="4">
        <v>265</v>
      </c>
      <c r="E97" s="9">
        <v>1</v>
      </c>
      <c r="H97" s="13"/>
      <c r="J97" s="13"/>
      <c r="K97" s="13"/>
    </row>
    <row r="98" spans="1:11" ht="16">
      <c r="A98" s="9">
        <f t="shared" si="1"/>
        <v>45</v>
      </c>
      <c r="B98" s="4" t="s">
        <v>89</v>
      </c>
      <c r="C98" s="4"/>
      <c r="D98" s="4">
        <v>43</v>
      </c>
      <c r="E98" s="9">
        <v>5</v>
      </c>
      <c r="H98" s="13"/>
      <c r="J98" s="13"/>
      <c r="K98" s="13"/>
    </row>
    <row r="99" spans="1:11" ht="16">
      <c r="A99" s="9">
        <f t="shared" si="1"/>
        <v>45</v>
      </c>
      <c r="B99" s="4"/>
      <c r="C99" s="4"/>
      <c r="D99" s="4">
        <v>49</v>
      </c>
      <c r="E99" s="9">
        <v>4</v>
      </c>
      <c r="H99" s="13"/>
      <c r="J99" s="13"/>
      <c r="K99" s="13"/>
    </row>
    <row r="100" spans="1:11" ht="16">
      <c r="A100" s="9">
        <f t="shared" si="1"/>
        <v>46</v>
      </c>
      <c r="B100" s="4" t="s">
        <v>91</v>
      </c>
      <c r="C100" s="4"/>
      <c r="D100" s="4">
        <v>34</v>
      </c>
      <c r="E100" s="9">
        <v>5</v>
      </c>
      <c r="H100" s="13"/>
      <c r="J100" s="13"/>
      <c r="K100" s="13"/>
    </row>
    <row r="101" spans="1:11" ht="16">
      <c r="A101" s="9">
        <f t="shared" si="1"/>
        <v>46</v>
      </c>
      <c r="B101" s="4"/>
      <c r="C101" s="4"/>
      <c r="D101" s="4">
        <v>19</v>
      </c>
      <c r="E101" s="9">
        <v>4</v>
      </c>
      <c r="H101" s="13"/>
      <c r="J101" s="13"/>
      <c r="K101" s="13"/>
    </row>
    <row r="102" spans="1:11" ht="16">
      <c r="A102" s="9">
        <f t="shared" si="1"/>
        <v>46</v>
      </c>
      <c r="B102" s="4"/>
      <c r="C102" s="4"/>
      <c r="D102" s="4">
        <v>34</v>
      </c>
      <c r="E102" s="9">
        <v>1</v>
      </c>
      <c r="H102" s="13"/>
      <c r="J102" s="13"/>
      <c r="K102" s="13"/>
    </row>
    <row r="103" spans="1:11" ht="16">
      <c r="A103" s="9">
        <f t="shared" si="1"/>
        <v>47</v>
      </c>
      <c r="B103" s="4" t="s">
        <v>92</v>
      </c>
      <c r="C103" s="14">
        <v>2020</v>
      </c>
      <c r="D103" s="4">
        <v>256</v>
      </c>
      <c r="E103" s="9">
        <v>4</v>
      </c>
      <c r="H103" s="13"/>
      <c r="J103" s="13"/>
      <c r="K103" s="13"/>
    </row>
    <row r="104" spans="1:11" ht="16">
      <c r="A104" s="9">
        <f t="shared" si="1"/>
        <v>47</v>
      </c>
      <c r="B104" s="4"/>
      <c r="C104" s="14">
        <v>2020</v>
      </c>
      <c r="D104" s="4">
        <v>257</v>
      </c>
      <c r="E104" s="9">
        <v>6</v>
      </c>
      <c r="H104" s="13"/>
      <c r="J104" s="13"/>
      <c r="K104" s="13"/>
    </row>
    <row r="105" spans="1:11" ht="16">
      <c r="A105" s="9">
        <f t="shared" si="1"/>
        <v>47</v>
      </c>
      <c r="B105" s="4"/>
      <c r="C105" s="14">
        <v>2020</v>
      </c>
      <c r="D105" s="4">
        <v>250</v>
      </c>
      <c r="E105" s="9">
        <v>1</v>
      </c>
      <c r="H105" s="13"/>
      <c r="J105" s="13"/>
      <c r="K105" s="13"/>
    </row>
    <row r="106" spans="1:11" ht="16">
      <c r="A106" s="9">
        <f t="shared" si="1"/>
        <v>48</v>
      </c>
      <c r="B106" s="4" t="s">
        <v>93</v>
      </c>
      <c r="C106" s="14">
        <v>2020</v>
      </c>
      <c r="D106" s="4">
        <v>128</v>
      </c>
      <c r="E106" s="9">
        <v>4</v>
      </c>
      <c r="H106" s="13"/>
      <c r="J106" s="13"/>
      <c r="K106" s="13"/>
    </row>
    <row r="107" spans="1:11" ht="13" customHeight="1">
      <c r="A107" s="9">
        <f t="shared" si="1"/>
        <v>48</v>
      </c>
      <c r="B107" s="4"/>
      <c r="C107" s="14">
        <v>2020</v>
      </c>
      <c r="D107" s="4">
        <v>134</v>
      </c>
      <c r="E107" s="9">
        <v>1</v>
      </c>
      <c r="H107" s="13"/>
      <c r="J107" s="13"/>
      <c r="K107" s="13"/>
    </row>
    <row r="108" spans="1:11" ht="16">
      <c r="A108" s="9">
        <f t="shared" si="1"/>
        <v>49</v>
      </c>
      <c r="B108" s="4" t="s">
        <v>94</v>
      </c>
      <c r="C108" s="4"/>
      <c r="D108" s="4">
        <v>188</v>
      </c>
      <c r="E108" s="9">
        <v>9</v>
      </c>
      <c r="H108" s="13"/>
      <c r="J108" s="13"/>
      <c r="K108" s="13"/>
    </row>
    <row r="109" spans="1:11" ht="16">
      <c r="A109" s="9">
        <f t="shared" si="1"/>
        <v>49</v>
      </c>
      <c r="B109" s="4"/>
      <c r="C109" s="4"/>
      <c r="D109" s="4">
        <v>188</v>
      </c>
      <c r="E109" s="9">
        <v>10</v>
      </c>
      <c r="H109" s="13"/>
      <c r="J109" s="13"/>
      <c r="K109" s="13"/>
    </row>
    <row r="110" spans="1:11" ht="16">
      <c r="A110" s="9">
        <f t="shared" si="1"/>
        <v>49</v>
      </c>
      <c r="B110" s="4"/>
      <c r="C110" s="4"/>
      <c r="D110" s="4">
        <v>190</v>
      </c>
      <c r="E110" s="9">
        <v>1</v>
      </c>
      <c r="H110" s="13"/>
      <c r="J110" s="13"/>
      <c r="K110" s="13"/>
    </row>
    <row r="111" spans="1:11" ht="16">
      <c r="A111" s="9">
        <f t="shared" si="1"/>
        <v>50</v>
      </c>
      <c r="B111" s="4" t="s">
        <v>98</v>
      </c>
      <c r="C111" s="4"/>
      <c r="D111" s="4">
        <v>4</v>
      </c>
      <c r="E111" s="9">
        <v>9</v>
      </c>
      <c r="H111" s="13"/>
      <c r="J111" s="13"/>
      <c r="K111" s="13"/>
    </row>
    <row r="112" spans="1:11" ht="16" customHeight="1">
      <c r="A112" s="9">
        <f t="shared" si="1"/>
        <v>50</v>
      </c>
      <c r="B112" s="4"/>
      <c r="C112" s="4"/>
      <c r="D112" s="4">
        <v>4</v>
      </c>
      <c r="E112" s="9">
        <v>1</v>
      </c>
      <c r="H112" s="13"/>
      <c r="J112" s="13"/>
      <c r="K112" s="13"/>
    </row>
    <row r="113" spans="1:11" ht="16">
      <c r="A113" s="9">
        <f t="shared" si="1"/>
        <v>51</v>
      </c>
      <c r="B113" s="4" t="s">
        <v>100</v>
      </c>
      <c r="C113" s="4"/>
      <c r="D113" s="4">
        <v>64</v>
      </c>
      <c r="E113" s="9">
        <v>5</v>
      </c>
      <c r="H113" s="13"/>
      <c r="J113" s="13"/>
      <c r="K113" s="13"/>
    </row>
    <row r="114" spans="1:11" ht="16">
      <c r="A114" s="9">
        <f t="shared" si="1"/>
        <v>51</v>
      </c>
      <c r="B114" s="4"/>
      <c r="C114" s="4"/>
      <c r="D114" s="4">
        <v>63</v>
      </c>
      <c r="E114" s="9">
        <v>16</v>
      </c>
      <c r="H114" s="13"/>
      <c r="J114" s="13"/>
      <c r="K114" s="13"/>
    </row>
    <row r="115" spans="1:11" ht="16">
      <c r="A115" s="9">
        <f t="shared" si="1"/>
        <v>52</v>
      </c>
      <c r="B115" s="4" t="s">
        <v>102</v>
      </c>
      <c r="C115" s="4"/>
      <c r="D115" s="4">
        <v>454</v>
      </c>
      <c r="E115" s="9">
        <v>11</v>
      </c>
      <c r="H115" s="13"/>
      <c r="J115" s="13"/>
      <c r="K115" s="13"/>
    </row>
    <row r="116" spans="1:11" ht="16">
      <c r="A116" s="9">
        <f t="shared" si="1"/>
        <v>52</v>
      </c>
      <c r="B116" s="4"/>
      <c r="C116" s="4"/>
      <c r="D116" s="4">
        <v>461</v>
      </c>
      <c r="E116" s="9">
        <v>16</v>
      </c>
      <c r="H116" s="13"/>
      <c r="J116" s="13"/>
      <c r="K116" s="13"/>
    </row>
    <row r="117" spans="1:11" ht="16">
      <c r="A117" s="9">
        <f t="shared" si="1"/>
        <v>53</v>
      </c>
      <c r="B117" s="4" t="s">
        <v>73</v>
      </c>
      <c r="C117" s="4"/>
      <c r="D117" s="4">
        <v>17</v>
      </c>
      <c r="E117" s="9">
        <v>16</v>
      </c>
      <c r="H117" s="13"/>
      <c r="J117" s="13"/>
      <c r="K117" s="13"/>
    </row>
    <row r="118" spans="1:11" ht="16">
      <c r="A118" s="9">
        <f t="shared" si="1"/>
        <v>53</v>
      </c>
      <c r="B118" s="4"/>
      <c r="C118" s="4"/>
      <c r="D118" s="4">
        <v>12</v>
      </c>
      <c r="E118" s="9">
        <v>11</v>
      </c>
      <c r="H118" s="13"/>
      <c r="J118" s="13"/>
      <c r="K118" s="13"/>
    </row>
    <row r="119" spans="1:11" ht="16">
      <c r="A119" s="9">
        <f t="shared" si="1"/>
        <v>54</v>
      </c>
      <c r="B119" s="4" t="s">
        <v>104</v>
      </c>
      <c r="C119" s="4"/>
      <c r="D119" s="4">
        <v>98</v>
      </c>
      <c r="E119" s="9">
        <v>3</v>
      </c>
      <c r="H119" s="13"/>
      <c r="J119" s="13"/>
      <c r="K119" s="13"/>
    </row>
    <row r="120" spans="1:11" ht="16">
      <c r="A120" s="9">
        <f t="shared" si="1"/>
        <v>54</v>
      </c>
      <c r="B120" s="4"/>
      <c r="C120" s="4"/>
      <c r="D120" s="4">
        <v>106</v>
      </c>
      <c r="E120" s="9">
        <v>1</v>
      </c>
      <c r="H120" s="13"/>
      <c r="J120" s="13"/>
      <c r="K120" s="13"/>
    </row>
    <row r="121" spans="1:11" ht="14">
      <c r="A121" s="9">
        <f t="shared" si="1"/>
        <v>55</v>
      </c>
      <c r="B121" s="4" t="s">
        <v>105</v>
      </c>
      <c r="C121" s="4"/>
      <c r="D121" s="4">
        <v>328</v>
      </c>
      <c r="E121" s="9">
        <v>10</v>
      </c>
    </row>
    <row r="122" spans="1:11">
      <c r="A122" s="9">
        <f t="shared" si="1"/>
        <v>55</v>
      </c>
      <c r="B122" s="4"/>
      <c r="C122" s="4"/>
      <c r="D122" s="4">
        <v>334</v>
      </c>
      <c r="E122" s="9">
        <v>1</v>
      </c>
    </row>
    <row r="123" spans="1:11" ht="14">
      <c r="A123" s="9">
        <f t="shared" si="1"/>
        <v>56</v>
      </c>
      <c r="B123" s="4" t="s">
        <v>107</v>
      </c>
      <c r="C123" s="4"/>
      <c r="D123" s="4">
        <v>224</v>
      </c>
      <c r="E123" s="9">
        <v>4</v>
      </c>
    </row>
    <row r="124" spans="1:11">
      <c r="A124" s="9">
        <f t="shared" si="1"/>
        <v>56</v>
      </c>
      <c r="B124" s="4"/>
      <c r="C124" s="4"/>
      <c r="D124" s="4">
        <v>222</v>
      </c>
      <c r="E124" s="9">
        <v>11</v>
      </c>
    </row>
    <row r="125" spans="1:11" ht="14">
      <c r="A125" s="9">
        <f t="shared" si="1"/>
        <v>57</v>
      </c>
      <c r="B125" s="4" t="s">
        <v>108</v>
      </c>
      <c r="C125" s="4">
        <v>2021</v>
      </c>
      <c r="D125" s="4">
        <v>312</v>
      </c>
      <c r="E125" s="9">
        <v>4</v>
      </c>
    </row>
    <row r="126" spans="1:11">
      <c r="A126" s="9">
        <f t="shared" si="1"/>
        <v>57</v>
      </c>
      <c r="B126" s="4"/>
      <c r="C126" s="4">
        <v>2021</v>
      </c>
      <c r="D126" s="4">
        <v>310</v>
      </c>
      <c r="E126" s="9">
        <v>1</v>
      </c>
    </row>
    <row r="127" spans="1:11" ht="14">
      <c r="A127" s="9">
        <f t="shared" si="1"/>
        <v>58</v>
      </c>
      <c r="B127" s="4" t="s">
        <v>109</v>
      </c>
      <c r="C127" s="4"/>
      <c r="D127" s="4">
        <v>467</v>
      </c>
      <c r="E127" s="9">
        <v>9</v>
      </c>
    </row>
    <row r="128" spans="1:11">
      <c r="A128" s="9">
        <f t="shared" si="1"/>
        <v>58</v>
      </c>
      <c r="B128" s="4"/>
      <c r="C128" s="4"/>
      <c r="D128" s="4">
        <v>464</v>
      </c>
      <c r="E128" s="9">
        <v>1</v>
      </c>
    </row>
    <row r="129" spans="1:5" ht="14">
      <c r="A129" s="9">
        <f t="shared" si="1"/>
        <v>59</v>
      </c>
      <c r="B129" s="4" t="s">
        <v>110</v>
      </c>
      <c r="C129" s="4"/>
      <c r="D129" s="4">
        <v>396</v>
      </c>
      <c r="E129" s="9">
        <v>9</v>
      </c>
    </row>
    <row r="130" spans="1:5">
      <c r="A130" s="9">
        <f t="shared" si="1"/>
        <v>59</v>
      </c>
      <c r="B130" s="4"/>
      <c r="C130" s="4"/>
      <c r="D130" s="4">
        <v>396</v>
      </c>
      <c r="E130" s="9">
        <v>1</v>
      </c>
    </row>
    <row r="131" spans="1:5" ht="14">
      <c r="A131" s="9">
        <f t="shared" si="1"/>
        <v>60</v>
      </c>
      <c r="B131" s="4" t="s">
        <v>112</v>
      </c>
      <c r="C131" s="4"/>
      <c r="D131" s="4">
        <v>400</v>
      </c>
      <c r="E131" s="9">
        <v>2</v>
      </c>
    </row>
    <row r="132" spans="1:5">
      <c r="A132" s="9">
        <f t="shared" ref="A132:A195" si="2">IF(B132="",A131,A131+1)</f>
        <v>60</v>
      </c>
      <c r="B132" s="4"/>
      <c r="C132" s="4"/>
      <c r="D132" s="4">
        <v>202</v>
      </c>
      <c r="E132" s="9">
        <v>15</v>
      </c>
    </row>
    <row r="133" spans="1:5" ht="16" customHeight="1">
      <c r="A133" s="9">
        <f t="shared" si="2"/>
        <v>61</v>
      </c>
      <c r="B133" s="3" t="s">
        <v>113</v>
      </c>
      <c r="C133" s="4"/>
      <c r="D133" s="4">
        <v>301</v>
      </c>
      <c r="E133" s="9">
        <v>4</v>
      </c>
    </row>
    <row r="134" spans="1:5">
      <c r="A134" s="9">
        <f t="shared" si="2"/>
        <v>61</v>
      </c>
      <c r="B134" s="4"/>
      <c r="C134" s="4"/>
      <c r="D134" s="4">
        <v>281</v>
      </c>
      <c r="E134" s="9">
        <v>6</v>
      </c>
    </row>
    <row r="135" spans="1:5" ht="13" customHeight="1">
      <c r="A135" s="9">
        <f t="shared" si="2"/>
        <v>61</v>
      </c>
      <c r="B135" s="4"/>
      <c r="C135" s="4"/>
      <c r="D135" s="4">
        <v>300</v>
      </c>
      <c r="E135" s="9">
        <v>17</v>
      </c>
    </row>
    <row r="136" spans="1:5" ht="14">
      <c r="A136" s="9">
        <f t="shared" si="2"/>
        <v>62</v>
      </c>
      <c r="B136" s="4" t="s">
        <v>115</v>
      </c>
      <c r="C136" s="4"/>
      <c r="D136" s="4">
        <v>250</v>
      </c>
      <c r="E136" s="9">
        <v>3</v>
      </c>
    </row>
    <row r="137" spans="1:5">
      <c r="A137" s="9">
        <f t="shared" si="2"/>
        <v>62</v>
      </c>
      <c r="B137" s="4"/>
      <c r="C137" s="4"/>
      <c r="D137" s="4">
        <v>252</v>
      </c>
      <c r="E137" s="9">
        <v>1</v>
      </c>
    </row>
    <row r="138" spans="1:5" ht="14">
      <c r="A138" s="9">
        <f t="shared" si="2"/>
        <v>63</v>
      </c>
      <c r="B138" s="4" t="s">
        <v>118</v>
      </c>
      <c r="C138" s="4"/>
      <c r="D138" s="4">
        <v>410</v>
      </c>
      <c r="E138" s="9">
        <v>4</v>
      </c>
    </row>
    <row r="139" spans="1:5">
      <c r="A139" s="9">
        <f t="shared" si="2"/>
        <v>63</v>
      </c>
      <c r="B139" s="4"/>
      <c r="C139" s="4"/>
      <c r="D139" s="4">
        <v>411</v>
      </c>
      <c r="E139" s="9">
        <v>16</v>
      </c>
    </row>
    <row r="140" spans="1:5" ht="14">
      <c r="A140" s="9">
        <f t="shared" si="2"/>
        <v>64</v>
      </c>
      <c r="B140" s="4" t="s">
        <v>120</v>
      </c>
      <c r="C140" s="4"/>
      <c r="D140" s="4">
        <v>550</v>
      </c>
      <c r="E140" s="9">
        <v>7</v>
      </c>
    </row>
    <row r="141" spans="1:5">
      <c r="A141" s="9">
        <f t="shared" si="2"/>
        <v>64</v>
      </c>
      <c r="B141" s="4"/>
      <c r="C141" s="4"/>
      <c r="D141" s="4">
        <v>546</v>
      </c>
      <c r="E141" s="9">
        <v>16</v>
      </c>
    </row>
    <row r="142" spans="1:5" ht="14">
      <c r="A142" s="9">
        <f t="shared" si="2"/>
        <v>65</v>
      </c>
      <c r="B142" s="4" t="s">
        <v>122</v>
      </c>
      <c r="C142" s="4"/>
      <c r="D142" s="4"/>
      <c r="E142" s="9">
        <v>14</v>
      </c>
    </row>
    <row r="143" spans="1:5">
      <c r="A143" s="9">
        <f t="shared" si="2"/>
        <v>65</v>
      </c>
      <c r="B143" s="4"/>
      <c r="C143" s="4"/>
      <c r="D143" s="4">
        <v>268</v>
      </c>
      <c r="E143" s="9">
        <v>10</v>
      </c>
    </row>
    <row r="144" spans="1:5">
      <c r="A144" s="9">
        <f t="shared" si="2"/>
        <v>65</v>
      </c>
      <c r="B144" s="4"/>
      <c r="C144" s="4"/>
      <c r="D144" s="4">
        <v>269</v>
      </c>
      <c r="E144" s="9">
        <v>1</v>
      </c>
    </row>
    <row r="145" spans="1:5" ht="14">
      <c r="A145" s="9">
        <f t="shared" si="2"/>
        <v>66</v>
      </c>
      <c r="B145" s="4" t="s">
        <v>124</v>
      </c>
      <c r="C145" s="4"/>
      <c r="D145" s="4">
        <v>483</v>
      </c>
      <c r="E145" s="9">
        <v>10</v>
      </c>
    </row>
    <row r="146" spans="1:5">
      <c r="A146" s="9">
        <f t="shared" si="2"/>
        <v>66</v>
      </c>
      <c r="B146" s="4"/>
      <c r="C146" s="4"/>
      <c r="D146" s="4">
        <v>240</v>
      </c>
      <c r="E146" s="9">
        <v>1</v>
      </c>
    </row>
    <row r="147" spans="1:5" ht="14">
      <c r="A147" s="9">
        <f t="shared" si="2"/>
        <v>67</v>
      </c>
      <c r="B147" s="4" t="s">
        <v>126</v>
      </c>
      <c r="C147" s="4"/>
      <c r="D147" s="4">
        <v>62</v>
      </c>
      <c r="E147" s="9">
        <v>9</v>
      </c>
    </row>
    <row r="148" spans="1:5">
      <c r="A148" s="9">
        <f t="shared" si="2"/>
        <v>67</v>
      </c>
      <c r="B148" s="4"/>
      <c r="C148" s="4"/>
      <c r="D148" s="4">
        <v>64</v>
      </c>
      <c r="E148" s="9">
        <v>1</v>
      </c>
    </row>
    <row r="149" spans="1:5">
      <c r="A149" s="9">
        <f t="shared" si="2"/>
        <v>67</v>
      </c>
      <c r="B149" s="4"/>
      <c r="C149" s="4"/>
      <c r="D149" s="4">
        <v>174</v>
      </c>
      <c r="E149" s="9">
        <v>13</v>
      </c>
    </row>
    <row r="150" spans="1:5">
      <c r="A150" s="9">
        <f t="shared" si="2"/>
        <v>67</v>
      </c>
      <c r="B150" s="4"/>
      <c r="C150" s="4"/>
      <c r="D150" s="4">
        <v>118</v>
      </c>
      <c r="E150" s="9">
        <v>1</v>
      </c>
    </row>
    <row r="151" spans="1:5">
      <c r="A151" s="9">
        <f t="shared" si="2"/>
        <v>67</v>
      </c>
      <c r="B151" s="4"/>
      <c r="C151" s="4"/>
      <c r="D151" s="4">
        <v>117</v>
      </c>
      <c r="E151" s="9">
        <v>9</v>
      </c>
    </row>
    <row r="152" spans="1:5">
      <c r="A152" s="9">
        <f t="shared" si="2"/>
        <v>67</v>
      </c>
      <c r="B152" s="4"/>
      <c r="C152" s="4"/>
      <c r="D152" s="4">
        <v>60</v>
      </c>
      <c r="E152" s="9">
        <v>2</v>
      </c>
    </row>
    <row r="153" spans="1:5" ht="14">
      <c r="A153" s="9">
        <f t="shared" si="2"/>
        <v>68</v>
      </c>
      <c r="B153" s="4" t="s">
        <v>133</v>
      </c>
      <c r="C153" s="14">
        <v>2021</v>
      </c>
      <c r="D153" s="4">
        <v>406</v>
      </c>
      <c r="E153" s="9">
        <v>9</v>
      </c>
    </row>
    <row r="154" spans="1:5">
      <c r="A154" s="9">
        <f t="shared" si="2"/>
        <v>68</v>
      </c>
      <c r="B154" s="4"/>
      <c r="C154" s="14">
        <v>2021</v>
      </c>
      <c r="D154" s="4">
        <v>403</v>
      </c>
      <c r="E154" s="9">
        <v>15</v>
      </c>
    </row>
    <row r="155" spans="1:5" ht="14">
      <c r="A155" s="9">
        <f t="shared" si="2"/>
        <v>69</v>
      </c>
      <c r="B155" s="4" t="s">
        <v>134</v>
      </c>
      <c r="C155" s="14">
        <v>2021</v>
      </c>
      <c r="D155" s="4">
        <v>353</v>
      </c>
      <c r="E155" s="9">
        <v>4</v>
      </c>
    </row>
    <row r="156" spans="1:5">
      <c r="A156" s="9">
        <f t="shared" si="2"/>
        <v>69</v>
      </c>
      <c r="B156" s="4"/>
      <c r="C156" s="14">
        <v>2021</v>
      </c>
      <c r="D156" s="4">
        <v>356</v>
      </c>
      <c r="E156" s="9">
        <v>15</v>
      </c>
    </row>
    <row r="157" spans="1:5" ht="16" customHeight="1">
      <c r="A157" s="9">
        <f t="shared" si="2"/>
        <v>70</v>
      </c>
      <c r="B157" s="4" t="s">
        <v>135</v>
      </c>
      <c r="C157" s="14">
        <v>2021</v>
      </c>
      <c r="D157" s="4">
        <v>303</v>
      </c>
      <c r="E157" s="9">
        <v>7</v>
      </c>
    </row>
    <row r="158" spans="1:5">
      <c r="A158" s="9">
        <f t="shared" si="2"/>
        <v>70</v>
      </c>
      <c r="B158" s="4"/>
      <c r="C158" s="14">
        <v>2021</v>
      </c>
      <c r="D158" s="4">
        <v>302</v>
      </c>
      <c r="E158" s="9">
        <v>1</v>
      </c>
    </row>
    <row r="159" spans="1:5" ht="14">
      <c r="A159" s="9">
        <f t="shared" si="2"/>
        <v>71</v>
      </c>
      <c r="B159" s="4" t="s">
        <v>137</v>
      </c>
      <c r="C159" s="14">
        <v>2021</v>
      </c>
      <c r="D159" s="4">
        <v>221</v>
      </c>
      <c r="E159" s="9">
        <v>4</v>
      </c>
    </row>
    <row r="160" spans="1:5">
      <c r="A160" s="9">
        <f t="shared" si="2"/>
        <v>71</v>
      </c>
      <c r="B160" s="4"/>
      <c r="C160" s="14">
        <v>2021</v>
      </c>
      <c r="D160" s="4">
        <v>111</v>
      </c>
      <c r="E160" s="9">
        <v>15</v>
      </c>
    </row>
    <row r="161" spans="1:5" ht="14">
      <c r="A161" s="9">
        <f t="shared" si="2"/>
        <v>72</v>
      </c>
      <c r="B161" s="4" t="s">
        <v>138</v>
      </c>
      <c r="C161" s="4"/>
      <c r="D161" s="4">
        <v>488</v>
      </c>
      <c r="E161" s="9">
        <v>4</v>
      </c>
    </row>
    <row r="162" spans="1:5">
      <c r="A162" s="9">
        <f t="shared" si="2"/>
        <v>72</v>
      </c>
      <c r="B162" s="4"/>
      <c r="C162" s="4"/>
      <c r="D162" s="4">
        <v>496</v>
      </c>
      <c r="E162" s="9">
        <v>15</v>
      </c>
    </row>
    <row r="163" spans="1:5" ht="14">
      <c r="A163" s="9">
        <f t="shared" si="2"/>
        <v>73</v>
      </c>
      <c r="B163" s="5" t="s">
        <v>139</v>
      </c>
      <c r="C163" s="4"/>
      <c r="D163" s="4">
        <v>116</v>
      </c>
      <c r="E163" s="9">
        <v>4</v>
      </c>
    </row>
    <row r="164" spans="1:5">
      <c r="A164" s="9">
        <f t="shared" si="2"/>
        <v>73</v>
      </c>
      <c r="B164" s="4"/>
      <c r="C164" s="4"/>
      <c r="D164" s="4">
        <v>112</v>
      </c>
      <c r="E164" s="9">
        <v>1</v>
      </c>
    </row>
    <row r="165" spans="1:5" ht="14">
      <c r="A165" s="9">
        <f t="shared" si="2"/>
        <v>74</v>
      </c>
      <c r="B165" s="4" t="s">
        <v>140</v>
      </c>
      <c r="C165" s="14">
        <v>2021</v>
      </c>
      <c r="D165" s="4">
        <v>284</v>
      </c>
      <c r="E165" s="9">
        <v>7</v>
      </c>
    </row>
    <row r="166" spans="1:5">
      <c r="A166" s="9">
        <f t="shared" si="2"/>
        <v>74</v>
      </c>
      <c r="B166" s="4"/>
      <c r="C166" s="14">
        <v>2021</v>
      </c>
      <c r="D166" s="4">
        <v>284</v>
      </c>
      <c r="E166" s="9">
        <v>4</v>
      </c>
    </row>
    <row r="167" spans="1:5" ht="14">
      <c r="A167" s="9">
        <f t="shared" si="2"/>
        <v>75</v>
      </c>
      <c r="B167" s="4" t="s">
        <v>143</v>
      </c>
      <c r="C167" s="14">
        <v>2019</v>
      </c>
      <c r="D167" s="4">
        <v>151</v>
      </c>
      <c r="E167" s="9">
        <v>5</v>
      </c>
    </row>
    <row r="168" spans="1:5">
      <c r="A168" s="9">
        <f t="shared" si="2"/>
        <v>75</v>
      </c>
      <c r="B168" s="4"/>
      <c r="C168" s="14">
        <v>2019</v>
      </c>
      <c r="D168" s="4"/>
      <c r="E168" s="9">
        <v>16</v>
      </c>
    </row>
    <row r="169" spans="1:5" ht="13" customHeight="1">
      <c r="A169" s="9">
        <f t="shared" si="2"/>
        <v>75</v>
      </c>
      <c r="B169" s="4"/>
      <c r="C169" s="14">
        <v>2019</v>
      </c>
      <c r="D169" s="4">
        <v>150</v>
      </c>
      <c r="E169" s="9">
        <v>16</v>
      </c>
    </row>
    <row r="170" spans="1:5" ht="14">
      <c r="A170" s="9">
        <f t="shared" si="2"/>
        <v>76</v>
      </c>
      <c r="B170" s="4" t="s">
        <v>146</v>
      </c>
      <c r="C170" s="14">
        <v>2021</v>
      </c>
      <c r="D170" s="4">
        <v>351</v>
      </c>
      <c r="E170" s="9">
        <v>6</v>
      </c>
    </row>
    <row r="171" spans="1:5">
      <c r="A171" s="9">
        <f t="shared" si="2"/>
        <v>76</v>
      </c>
      <c r="B171" s="4"/>
      <c r="C171" s="14">
        <v>2021</v>
      </c>
      <c r="D171" s="4">
        <v>307</v>
      </c>
      <c r="E171" s="9">
        <v>4</v>
      </c>
    </row>
    <row r="172" spans="1:5">
      <c r="A172" s="9">
        <f t="shared" si="2"/>
        <v>76</v>
      </c>
      <c r="B172" s="4"/>
      <c r="C172" s="14">
        <v>2021</v>
      </c>
      <c r="D172" s="4">
        <v>352</v>
      </c>
      <c r="E172" s="9">
        <v>1</v>
      </c>
    </row>
    <row r="173" spans="1:5" ht="14">
      <c r="A173" s="9">
        <f t="shared" si="2"/>
        <v>77</v>
      </c>
      <c r="B173" s="4" t="s">
        <v>147</v>
      </c>
      <c r="C173" s="4"/>
      <c r="D173" s="4">
        <v>228</v>
      </c>
      <c r="E173" s="9">
        <v>6</v>
      </c>
    </row>
    <row r="174" spans="1:5" ht="16" customHeight="1">
      <c r="A174" s="9">
        <f t="shared" si="2"/>
        <v>77</v>
      </c>
      <c r="B174" s="4"/>
      <c r="C174" s="4"/>
      <c r="D174" s="4">
        <v>225</v>
      </c>
      <c r="E174" s="9">
        <v>5</v>
      </c>
    </row>
    <row r="175" spans="1:5" ht="14">
      <c r="A175" s="9">
        <f t="shared" si="2"/>
        <v>78</v>
      </c>
      <c r="B175" s="5" t="s">
        <v>149</v>
      </c>
      <c r="C175" s="4"/>
      <c r="D175" s="4">
        <v>125</v>
      </c>
      <c r="E175" s="9">
        <v>5</v>
      </c>
    </row>
    <row r="176" spans="1:5">
      <c r="A176" s="9">
        <f t="shared" si="2"/>
        <v>78</v>
      </c>
      <c r="B176" s="4"/>
      <c r="C176" s="4"/>
      <c r="D176" s="4">
        <v>124</v>
      </c>
      <c r="E176" s="9">
        <v>16</v>
      </c>
    </row>
    <row r="177" spans="1:5" ht="14">
      <c r="A177" s="9">
        <f t="shared" si="2"/>
        <v>79</v>
      </c>
      <c r="B177" s="4" t="s">
        <v>151</v>
      </c>
      <c r="C177" s="4"/>
      <c r="D177" s="4">
        <v>281</v>
      </c>
      <c r="E177" s="9">
        <v>16</v>
      </c>
    </row>
    <row r="178" spans="1:5">
      <c r="A178" s="9">
        <f t="shared" si="2"/>
        <v>79</v>
      </c>
      <c r="B178" s="4"/>
      <c r="C178" s="4"/>
      <c r="D178" s="4">
        <v>230</v>
      </c>
      <c r="E178" s="9">
        <v>11</v>
      </c>
    </row>
    <row r="179" spans="1:5" ht="14">
      <c r="A179" s="9">
        <f t="shared" si="2"/>
        <v>80</v>
      </c>
      <c r="B179" s="4" t="s">
        <v>154</v>
      </c>
      <c r="C179" s="4"/>
      <c r="D179" s="4">
        <v>277</v>
      </c>
      <c r="E179" s="9">
        <v>9</v>
      </c>
    </row>
    <row r="180" spans="1:5">
      <c r="A180" s="9">
        <f t="shared" si="2"/>
        <v>80</v>
      </c>
      <c r="B180" s="4"/>
      <c r="C180" s="4"/>
      <c r="D180" s="4">
        <v>277</v>
      </c>
      <c r="E180" s="9">
        <v>1</v>
      </c>
    </row>
    <row r="181" spans="1:5" ht="14">
      <c r="A181" s="9">
        <f t="shared" si="2"/>
        <v>81</v>
      </c>
      <c r="B181" s="4" t="s">
        <v>155</v>
      </c>
      <c r="C181" s="14">
        <v>2021</v>
      </c>
      <c r="D181" s="4">
        <v>350</v>
      </c>
      <c r="E181" s="9">
        <v>10</v>
      </c>
    </row>
    <row r="182" spans="1:5">
      <c r="A182" s="9">
        <f t="shared" si="2"/>
        <v>81</v>
      </c>
      <c r="B182" s="4"/>
      <c r="C182" s="14">
        <v>2021</v>
      </c>
      <c r="D182" s="4">
        <v>347</v>
      </c>
      <c r="E182" s="9">
        <v>1</v>
      </c>
    </row>
    <row r="183" spans="1:5" ht="14">
      <c r="A183" s="9">
        <f t="shared" si="2"/>
        <v>82</v>
      </c>
      <c r="B183" s="4" t="s">
        <v>157</v>
      </c>
      <c r="C183" s="4"/>
      <c r="D183" s="4">
        <v>367</v>
      </c>
      <c r="E183" s="9">
        <v>4</v>
      </c>
    </row>
    <row r="184" spans="1:5">
      <c r="A184" s="9">
        <f t="shared" si="2"/>
        <v>82</v>
      </c>
      <c r="B184" s="4"/>
      <c r="C184" s="4"/>
      <c r="D184" s="4">
        <v>363</v>
      </c>
      <c r="E184" s="9">
        <v>16</v>
      </c>
    </row>
    <row r="185" spans="1:5" ht="16" customHeight="1">
      <c r="A185" s="9">
        <f t="shared" si="2"/>
        <v>83</v>
      </c>
      <c r="B185" s="4" t="s">
        <v>159</v>
      </c>
      <c r="C185" s="4"/>
      <c r="D185" s="4">
        <v>386</v>
      </c>
      <c r="E185" s="9">
        <v>11</v>
      </c>
    </row>
    <row r="186" spans="1:5">
      <c r="A186" s="9">
        <f t="shared" si="2"/>
        <v>83</v>
      </c>
      <c r="B186" s="4"/>
      <c r="C186" s="4"/>
      <c r="D186" s="4">
        <v>376</v>
      </c>
      <c r="E186" s="9">
        <v>16</v>
      </c>
    </row>
    <row r="187" spans="1:5" ht="14">
      <c r="A187" s="9">
        <f t="shared" si="2"/>
        <v>84</v>
      </c>
      <c r="B187" s="4" t="s">
        <v>162</v>
      </c>
      <c r="C187" s="14">
        <v>2021</v>
      </c>
      <c r="D187" s="4">
        <v>373</v>
      </c>
      <c r="E187" s="9">
        <v>6</v>
      </c>
    </row>
    <row r="188" spans="1:5">
      <c r="A188" s="9">
        <f t="shared" si="2"/>
        <v>84</v>
      </c>
      <c r="B188" s="4"/>
      <c r="C188" s="14">
        <v>2021</v>
      </c>
      <c r="D188" s="4">
        <v>376</v>
      </c>
      <c r="E188" s="9">
        <v>1</v>
      </c>
    </row>
    <row r="189" spans="1:5" ht="14">
      <c r="A189" s="9">
        <f t="shared" si="2"/>
        <v>85</v>
      </c>
      <c r="B189" s="4" t="s">
        <v>163</v>
      </c>
      <c r="C189" s="14">
        <v>2021</v>
      </c>
      <c r="D189" s="4">
        <v>220</v>
      </c>
      <c r="E189" s="9">
        <v>1</v>
      </c>
    </row>
    <row r="190" spans="1:5">
      <c r="A190" s="9">
        <f t="shared" si="2"/>
        <v>85</v>
      </c>
      <c r="B190" s="4"/>
      <c r="C190" s="14">
        <v>2021</v>
      </c>
      <c r="D190" s="4">
        <v>431</v>
      </c>
      <c r="E190" s="9">
        <v>9</v>
      </c>
    </row>
    <row r="191" spans="1:5" ht="13" customHeight="1">
      <c r="A191" s="9">
        <f t="shared" si="2"/>
        <v>86</v>
      </c>
      <c r="B191" s="4" t="s">
        <v>165</v>
      </c>
      <c r="C191" s="4"/>
      <c r="D191" s="4">
        <v>406</v>
      </c>
      <c r="E191" s="9">
        <v>5</v>
      </c>
    </row>
    <row r="192" spans="1:5">
      <c r="A192" s="9">
        <f t="shared" si="2"/>
        <v>86</v>
      </c>
      <c r="B192" s="4"/>
      <c r="C192" s="4"/>
      <c r="D192" s="4">
        <v>388</v>
      </c>
      <c r="E192" s="9">
        <v>1</v>
      </c>
    </row>
    <row r="193" spans="1:5" ht="16" customHeight="1">
      <c r="A193" s="9">
        <f t="shared" si="2"/>
        <v>87</v>
      </c>
      <c r="B193" s="4" t="s">
        <v>166</v>
      </c>
      <c r="C193" s="4"/>
      <c r="D193" s="4">
        <v>124</v>
      </c>
      <c r="E193" s="9">
        <v>7</v>
      </c>
    </row>
    <row r="194" spans="1:5">
      <c r="A194" s="9">
        <f t="shared" si="2"/>
        <v>87</v>
      </c>
      <c r="B194" s="4"/>
      <c r="C194" s="4"/>
      <c r="D194" s="4">
        <v>123</v>
      </c>
      <c r="E194" s="9">
        <v>4</v>
      </c>
    </row>
    <row r="195" spans="1:5" ht="14">
      <c r="A195" s="9">
        <f t="shared" si="2"/>
        <v>88</v>
      </c>
      <c r="B195" s="4" t="s">
        <v>168</v>
      </c>
      <c r="C195" s="14">
        <v>2021</v>
      </c>
      <c r="D195" s="4">
        <v>323</v>
      </c>
      <c r="E195" s="9">
        <v>5</v>
      </c>
    </row>
    <row r="196" spans="1:5">
      <c r="A196" s="9">
        <f t="shared" ref="A196:A240" si="3">IF(B196="",A195,A195+1)</f>
        <v>88</v>
      </c>
      <c r="B196" s="4"/>
      <c r="C196" s="14">
        <v>2021</v>
      </c>
      <c r="D196" s="4">
        <v>328</v>
      </c>
      <c r="E196" s="9">
        <v>16</v>
      </c>
    </row>
    <row r="197" spans="1:5" ht="14">
      <c r="A197" s="9">
        <f t="shared" si="3"/>
        <v>89</v>
      </c>
      <c r="B197" s="4" t="s">
        <v>170</v>
      </c>
      <c r="C197" s="14">
        <v>2020</v>
      </c>
      <c r="D197" s="4">
        <v>566</v>
      </c>
      <c r="E197" s="9">
        <v>6</v>
      </c>
    </row>
    <row r="198" spans="1:5">
      <c r="A198" s="9">
        <f t="shared" si="3"/>
        <v>89</v>
      </c>
      <c r="B198" s="4"/>
      <c r="C198" s="14">
        <v>2020</v>
      </c>
      <c r="D198" s="4"/>
      <c r="E198" s="9">
        <v>1</v>
      </c>
    </row>
    <row r="199" spans="1:5" ht="16" customHeight="1">
      <c r="A199" s="9">
        <f t="shared" si="3"/>
        <v>89</v>
      </c>
      <c r="B199" s="4"/>
      <c r="C199" s="14">
        <v>2020</v>
      </c>
      <c r="D199" s="4">
        <v>281</v>
      </c>
      <c r="E199" s="9">
        <v>1</v>
      </c>
    </row>
    <row r="200" spans="1:5" ht="14">
      <c r="A200" s="9">
        <f t="shared" si="3"/>
        <v>90</v>
      </c>
      <c r="B200" s="4" t="s">
        <v>173</v>
      </c>
      <c r="C200" s="14">
        <v>2021</v>
      </c>
      <c r="D200" s="4">
        <v>157</v>
      </c>
      <c r="E200" s="9">
        <v>4</v>
      </c>
    </row>
    <row r="201" spans="1:5">
      <c r="A201" s="9">
        <f t="shared" si="3"/>
        <v>90</v>
      </c>
      <c r="B201" s="4"/>
      <c r="C201" s="14">
        <v>2021</v>
      </c>
      <c r="D201" s="4">
        <v>159</v>
      </c>
      <c r="E201" s="9">
        <v>1</v>
      </c>
    </row>
    <row r="202" spans="1:5" ht="14">
      <c r="A202" s="9">
        <f t="shared" si="3"/>
        <v>91</v>
      </c>
      <c r="B202" s="4" t="s">
        <v>175</v>
      </c>
      <c r="C202" s="14">
        <v>2021</v>
      </c>
      <c r="D202" s="4">
        <v>789</v>
      </c>
      <c r="E202" s="9">
        <v>6</v>
      </c>
    </row>
    <row r="203" spans="1:5">
      <c r="A203" s="9">
        <f t="shared" si="3"/>
        <v>91</v>
      </c>
      <c r="B203" s="4"/>
      <c r="C203" s="14">
        <v>2021</v>
      </c>
      <c r="D203" s="4"/>
      <c r="E203" s="9">
        <v>1</v>
      </c>
    </row>
    <row r="204" spans="1:5">
      <c r="A204" s="9">
        <f t="shared" si="3"/>
        <v>91</v>
      </c>
      <c r="B204" s="4"/>
      <c r="C204" s="14">
        <v>2021</v>
      </c>
      <c r="D204" s="4">
        <v>792</v>
      </c>
      <c r="E204" s="9">
        <v>1</v>
      </c>
    </row>
    <row r="205" spans="1:5" ht="14">
      <c r="A205" s="9">
        <f t="shared" si="3"/>
        <v>92</v>
      </c>
      <c r="B205" s="4" t="s">
        <v>177</v>
      </c>
      <c r="C205" s="14">
        <v>2021</v>
      </c>
      <c r="D205" s="4">
        <v>151</v>
      </c>
      <c r="E205" s="9">
        <v>4</v>
      </c>
    </row>
    <row r="206" spans="1:5" ht="34" customHeight="1">
      <c r="A206" s="9">
        <f t="shared" si="3"/>
        <v>92</v>
      </c>
      <c r="B206" s="4"/>
      <c r="C206" s="14">
        <v>2021</v>
      </c>
      <c r="D206" s="4">
        <v>153</v>
      </c>
      <c r="E206" s="9">
        <v>16</v>
      </c>
    </row>
    <row r="207" spans="1:5" ht="14">
      <c r="A207" s="9">
        <f t="shared" si="3"/>
        <v>93</v>
      </c>
      <c r="B207" s="4" t="s">
        <v>179</v>
      </c>
      <c r="C207" s="14">
        <v>2021</v>
      </c>
      <c r="D207" s="4">
        <v>146</v>
      </c>
      <c r="E207" s="9">
        <v>6</v>
      </c>
    </row>
    <row r="208" spans="1:5">
      <c r="A208" s="9">
        <f t="shared" si="3"/>
        <v>93</v>
      </c>
      <c r="B208" s="4"/>
      <c r="C208" s="14">
        <v>2021</v>
      </c>
      <c r="D208" s="4">
        <v>143</v>
      </c>
      <c r="E208" s="9">
        <v>1</v>
      </c>
    </row>
    <row r="209" spans="1:5" ht="14">
      <c r="A209" s="9">
        <f t="shared" si="3"/>
        <v>94</v>
      </c>
      <c r="B209" s="4" t="s">
        <v>181</v>
      </c>
      <c r="C209" s="14">
        <v>2020</v>
      </c>
      <c r="D209" s="4">
        <v>165</v>
      </c>
      <c r="E209" s="9">
        <v>10</v>
      </c>
    </row>
    <row r="210" spans="1:5">
      <c r="A210" s="9">
        <f t="shared" si="3"/>
        <v>94</v>
      </c>
      <c r="B210" s="4"/>
      <c r="C210" s="14">
        <v>2020</v>
      </c>
      <c r="D210" s="4">
        <v>168</v>
      </c>
      <c r="E210" s="9">
        <v>1</v>
      </c>
    </row>
    <row r="211" spans="1:5" ht="22" customHeight="1">
      <c r="A211" s="9">
        <f t="shared" si="3"/>
        <v>95</v>
      </c>
      <c r="B211" s="4" t="s">
        <v>183</v>
      </c>
      <c r="C211" s="14">
        <v>2020</v>
      </c>
      <c r="D211" s="4">
        <v>249</v>
      </c>
      <c r="E211" s="9">
        <v>9</v>
      </c>
    </row>
    <row r="212" spans="1:5">
      <c r="A212" s="9">
        <f t="shared" si="3"/>
        <v>95</v>
      </c>
      <c r="B212" s="4"/>
      <c r="C212" s="14">
        <v>2020</v>
      </c>
      <c r="D212" s="4">
        <v>250</v>
      </c>
      <c r="E212" s="9">
        <v>1</v>
      </c>
    </row>
    <row r="213" spans="1:5" ht="14">
      <c r="A213" s="9">
        <f t="shared" si="3"/>
        <v>96</v>
      </c>
      <c r="B213" s="4" t="s">
        <v>184</v>
      </c>
      <c r="C213" s="14">
        <v>2021</v>
      </c>
      <c r="D213" s="4">
        <v>361</v>
      </c>
      <c r="E213" s="9">
        <v>8</v>
      </c>
    </row>
    <row r="214" spans="1:5">
      <c r="A214" s="9">
        <f t="shared" si="3"/>
        <v>96</v>
      </c>
      <c r="B214" s="4"/>
      <c r="C214" s="14">
        <v>2021</v>
      </c>
      <c r="D214" s="4">
        <v>358</v>
      </c>
      <c r="E214" s="9">
        <v>1</v>
      </c>
    </row>
    <row r="215" spans="1:5" ht="14">
      <c r="A215" s="9">
        <f t="shared" si="3"/>
        <v>97</v>
      </c>
      <c r="B215" s="4" t="s">
        <v>186</v>
      </c>
      <c r="C215" s="14">
        <v>2020</v>
      </c>
      <c r="D215" s="4">
        <v>346</v>
      </c>
      <c r="E215" s="9">
        <v>9</v>
      </c>
    </row>
    <row r="216" spans="1:5">
      <c r="A216" s="9">
        <f t="shared" si="3"/>
        <v>97</v>
      </c>
      <c r="B216" s="4"/>
      <c r="C216" s="14">
        <v>2020</v>
      </c>
      <c r="D216" s="4">
        <v>342</v>
      </c>
      <c r="E216" s="9">
        <v>13</v>
      </c>
    </row>
    <row r="217" spans="1:5">
      <c r="A217" s="9">
        <f t="shared" si="3"/>
        <v>97</v>
      </c>
      <c r="B217" s="4"/>
      <c r="C217" s="14">
        <v>2020</v>
      </c>
      <c r="D217" s="4">
        <v>344</v>
      </c>
      <c r="E217" s="9">
        <v>1</v>
      </c>
    </row>
    <row r="218" spans="1:5" ht="14">
      <c r="A218" s="9">
        <f t="shared" si="3"/>
        <v>98</v>
      </c>
      <c r="B218" s="4" t="s">
        <v>187</v>
      </c>
      <c r="C218" s="14">
        <v>2021</v>
      </c>
      <c r="D218" s="4">
        <v>356</v>
      </c>
      <c r="E218" s="9">
        <v>4</v>
      </c>
    </row>
    <row r="219" spans="1:5">
      <c r="A219" s="9">
        <f t="shared" si="3"/>
        <v>98</v>
      </c>
      <c r="B219" s="4"/>
      <c r="C219" s="14">
        <v>2021</v>
      </c>
      <c r="D219" s="4">
        <v>354</v>
      </c>
      <c r="E219" s="9">
        <v>1</v>
      </c>
    </row>
    <row r="220" spans="1:5" ht="14">
      <c r="A220" s="9">
        <f t="shared" si="3"/>
        <v>99</v>
      </c>
      <c r="B220" s="4" t="s">
        <v>189</v>
      </c>
      <c r="C220" s="14">
        <v>2021</v>
      </c>
      <c r="D220" s="4">
        <v>275</v>
      </c>
      <c r="E220" s="9">
        <v>4</v>
      </c>
    </row>
    <row r="221" spans="1:5">
      <c r="A221" s="9">
        <f t="shared" si="3"/>
        <v>99</v>
      </c>
      <c r="B221" s="4"/>
      <c r="C221" s="14">
        <v>2021</v>
      </c>
      <c r="D221" s="4">
        <v>275</v>
      </c>
      <c r="E221" s="9">
        <v>15</v>
      </c>
    </row>
    <row r="222" spans="1:5" ht="14">
      <c r="A222" s="9">
        <f t="shared" si="3"/>
        <v>100</v>
      </c>
      <c r="B222" s="4" t="s">
        <v>190</v>
      </c>
      <c r="C222" s="14">
        <v>2021</v>
      </c>
      <c r="D222" s="4">
        <v>120</v>
      </c>
      <c r="E222" s="9">
        <v>6</v>
      </c>
    </row>
    <row r="223" spans="1:5">
      <c r="A223" s="9">
        <f t="shared" si="3"/>
        <v>100</v>
      </c>
      <c r="B223" s="4"/>
      <c r="C223" s="14">
        <v>2021</v>
      </c>
      <c r="D223" s="4">
        <v>119</v>
      </c>
      <c r="E223" s="9">
        <v>6</v>
      </c>
    </row>
    <row r="224" spans="1:5" ht="24" customHeight="1">
      <c r="A224" s="9">
        <f t="shared" si="3"/>
        <v>100</v>
      </c>
      <c r="B224" s="4"/>
      <c r="C224" s="14">
        <v>2021</v>
      </c>
      <c r="D224" s="4">
        <v>121</v>
      </c>
      <c r="E224" s="9">
        <v>1</v>
      </c>
    </row>
    <row r="225" spans="1:5" ht="14">
      <c r="A225" s="9">
        <f t="shared" si="3"/>
        <v>101</v>
      </c>
      <c r="B225" s="4" t="s">
        <v>194</v>
      </c>
      <c r="C225" s="14">
        <v>2020</v>
      </c>
      <c r="D225" s="4">
        <v>266</v>
      </c>
      <c r="E225" s="9">
        <v>4</v>
      </c>
    </row>
    <row r="226" spans="1:5">
      <c r="A226" s="9">
        <f t="shared" si="3"/>
        <v>101</v>
      </c>
      <c r="B226" s="4"/>
      <c r="C226" s="14">
        <v>2020</v>
      </c>
      <c r="D226" s="4">
        <v>131</v>
      </c>
      <c r="E226" s="9">
        <v>15</v>
      </c>
    </row>
    <row r="227" spans="1:5" ht="14">
      <c r="A227" s="9">
        <f t="shared" si="3"/>
        <v>102</v>
      </c>
      <c r="B227" s="4" t="s">
        <v>196</v>
      </c>
      <c r="C227" s="14">
        <v>2021</v>
      </c>
      <c r="D227" s="4">
        <v>134</v>
      </c>
      <c r="E227" s="9">
        <v>6</v>
      </c>
    </row>
    <row r="228" spans="1:5">
      <c r="A228" s="9">
        <f t="shared" si="3"/>
        <v>102</v>
      </c>
      <c r="B228" s="4"/>
      <c r="C228" s="14">
        <v>2021</v>
      </c>
      <c r="D228" s="4">
        <v>129</v>
      </c>
      <c r="E228" s="9">
        <v>1</v>
      </c>
    </row>
    <row r="229" spans="1:5" ht="14">
      <c r="A229" s="9">
        <f t="shared" si="3"/>
        <v>103</v>
      </c>
      <c r="B229" s="4" t="s">
        <v>199</v>
      </c>
      <c r="C229" s="14">
        <v>2021</v>
      </c>
      <c r="D229" s="4">
        <v>179</v>
      </c>
      <c r="E229" s="9">
        <v>6</v>
      </c>
    </row>
    <row r="230" spans="1:5">
      <c r="A230" s="9">
        <f t="shared" si="3"/>
        <v>103</v>
      </c>
      <c r="B230" s="4"/>
      <c r="C230" s="14">
        <v>2021</v>
      </c>
      <c r="D230" s="4">
        <v>178</v>
      </c>
      <c r="E230" s="9">
        <v>1</v>
      </c>
    </row>
    <row r="231" spans="1:5" ht="24" customHeight="1">
      <c r="A231" s="9">
        <f t="shared" si="3"/>
        <v>104</v>
      </c>
      <c r="B231" s="4" t="s">
        <v>201</v>
      </c>
      <c r="C231" s="14">
        <v>2021</v>
      </c>
      <c r="D231" s="4">
        <v>205</v>
      </c>
      <c r="E231" s="9">
        <v>6</v>
      </c>
    </row>
    <row r="232" spans="1:5">
      <c r="A232" s="9">
        <f t="shared" si="3"/>
        <v>104</v>
      </c>
      <c r="B232" s="4"/>
      <c r="C232" s="14">
        <v>2021</v>
      </c>
      <c r="D232" s="4">
        <v>207</v>
      </c>
      <c r="E232" s="9">
        <v>1</v>
      </c>
    </row>
    <row r="233" spans="1:5" ht="14">
      <c r="A233" s="9">
        <f t="shared" si="3"/>
        <v>105</v>
      </c>
      <c r="B233" s="4" t="s">
        <v>203</v>
      </c>
      <c r="C233" s="4"/>
      <c r="D233" s="4">
        <v>355</v>
      </c>
      <c r="E233" s="9">
        <v>5</v>
      </c>
    </row>
    <row r="234" spans="1:5">
      <c r="A234" s="9">
        <f t="shared" si="3"/>
        <v>105</v>
      </c>
      <c r="B234" s="4"/>
      <c r="C234" s="4"/>
      <c r="D234" s="4">
        <v>357</v>
      </c>
      <c r="E234" s="9">
        <v>16</v>
      </c>
    </row>
    <row r="235" spans="1:5">
      <c r="A235" s="9">
        <f t="shared" si="3"/>
        <v>105</v>
      </c>
      <c r="B235" s="4"/>
      <c r="C235" s="4"/>
      <c r="D235" s="4">
        <v>357</v>
      </c>
      <c r="E235" s="9">
        <v>16</v>
      </c>
    </row>
    <row r="236" spans="1:5" ht="14">
      <c r="A236" s="9">
        <f t="shared" si="3"/>
        <v>106</v>
      </c>
      <c r="B236" s="3" t="s">
        <v>206</v>
      </c>
      <c r="C236" s="4"/>
      <c r="D236" s="4">
        <v>213</v>
      </c>
      <c r="E236" s="9">
        <v>4</v>
      </c>
    </row>
    <row r="237" spans="1:5">
      <c r="A237" s="9">
        <f t="shared" si="3"/>
        <v>106</v>
      </c>
      <c r="B237" s="4"/>
      <c r="C237" s="4"/>
      <c r="D237" s="4">
        <v>198</v>
      </c>
      <c r="E237" s="9">
        <v>1</v>
      </c>
    </row>
    <row r="238" spans="1:5">
      <c r="C238" s="4"/>
    </row>
  </sheetData>
  <phoneticPr fontId="2" type="noConversion"/>
  <hyperlinks>
    <hyperlink ref="B163" r:id="rId1" tooltip="Current version of study NCT02611960 on ClinicalTrials.gov" display="https://clinicaltrials.gov/show/NCT02611960" xr:uid="{6AE7272C-B10A-1249-B455-88EA2FF3B51B}"/>
    <hyperlink ref="B175" r:id="rId2" tooltip="Current version of study NCT02576977 on ClinicalTrials.gov" display="https://clinicaltrials.gov/show/NCT02576977" xr:uid="{81D32619-E7BE-2A48-9EBF-90A2C4F5B2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2F07-F630-2047-B9F1-30499037494C}">
  <dimension ref="F5:N120"/>
  <sheetViews>
    <sheetView topLeftCell="F1" zoomScale="120" zoomScaleNormal="120" workbookViewId="0">
      <selection activeCell="M6" sqref="M6:N22"/>
    </sheetView>
  </sheetViews>
  <sheetFormatPr baseColWidth="10" defaultRowHeight="16"/>
  <cols>
    <col min="6" max="6" width="43.6640625" customWidth="1"/>
    <col min="7" max="7" width="17.33203125" customWidth="1"/>
    <col min="8" max="8" width="28" customWidth="1"/>
    <col min="9" max="9" width="23" customWidth="1"/>
    <col min="10" max="10" width="19.5" customWidth="1"/>
  </cols>
  <sheetData>
    <row r="5" spans="6:14">
      <c r="F5" s="2"/>
      <c r="G5" s="2"/>
    </row>
    <row r="6" spans="6:14" ht="17">
      <c r="F6" s="1" t="s">
        <v>223</v>
      </c>
      <c r="G6" s="1">
        <v>11</v>
      </c>
      <c r="H6" t="s">
        <v>223</v>
      </c>
      <c r="I6" t="s">
        <v>214</v>
      </c>
      <c r="J6">
        <f t="shared" ref="J6:J70" si="0">INDEX(M$6:M$22,MATCH(I6,N$6:N$22,0))</f>
        <v>11</v>
      </c>
      <c r="M6">
        <v>1</v>
      </c>
      <c r="N6" s="7" t="s">
        <v>1</v>
      </c>
    </row>
    <row r="7" spans="6:14">
      <c r="F7" s="1" t="s">
        <v>207</v>
      </c>
      <c r="G7" s="1">
        <v>1</v>
      </c>
      <c r="H7" t="s">
        <v>1</v>
      </c>
      <c r="I7" t="s">
        <v>1</v>
      </c>
      <c r="J7">
        <f t="shared" si="0"/>
        <v>1</v>
      </c>
      <c r="M7">
        <v>2</v>
      </c>
      <c r="N7" t="s">
        <v>209</v>
      </c>
    </row>
    <row r="8" spans="6:14">
      <c r="F8" s="1" t="s">
        <v>172</v>
      </c>
      <c r="G8" s="1">
        <v>1</v>
      </c>
      <c r="H8" t="s">
        <v>172</v>
      </c>
      <c r="I8" t="s">
        <v>1</v>
      </c>
      <c r="J8">
        <f t="shared" si="0"/>
        <v>1</v>
      </c>
      <c r="M8">
        <v>3</v>
      </c>
      <c r="N8" t="s">
        <v>208</v>
      </c>
    </row>
    <row r="9" spans="6:14">
      <c r="F9" s="1" t="s">
        <v>224</v>
      </c>
      <c r="G9" s="1">
        <v>10</v>
      </c>
      <c r="H9" t="s">
        <v>224</v>
      </c>
      <c r="I9" t="s">
        <v>215</v>
      </c>
      <c r="J9">
        <f t="shared" si="0"/>
        <v>10</v>
      </c>
      <c r="M9">
        <v>4</v>
      </c>
      <c r="N9" t="s">
        <v>245</v>
      </c>
    </row>
    <row r="10" spans="6:14">
      <c r="F10" s="1" t="s">
        <v>225</v>
      </c>
      <c r="G10" s="1">
        <v>11</v>
      </c>
      <c r="H10" t="s">
        <v>225</v>
      </c>
      <c r="I10" t="s">
        <v>214</v>
      </c>
      <c r="J10">
        <f t="shared" si="0"/>
        <v>11</v>
      </c>
      <c r="M10">
        <v>5</v>
      </c>
      <c r="N10" t="s">
        <v>217</v>
      </c>
    </row>
    <row r="11" spans="6:14">
      <c r="F11" s="1" t="s">
        <v>226</v>
      </c>
      <c r="G11" s="1">
        <v>1</v>
      </c>
      <c r="H11" t="s">
        <v>226</v>
      </c>
      <c r="I11" t="s">
        <v>1</v>
      </c>
      <c r="J11">
        <f t="shared" si="0"/>
        <v>1</v>
      </c>
      <c r="M11">
        <v>6</v>
      </c>
      <c r="N11" t="s">
        <v>246</v>
      </c>
    </row>
    <row r="12" spans="6:14">
      <c r="F12" s="1" t="s">
        <v>15</v>
      </c>
      <c r="G12" s="1">
        <v>2</v>
      </c>
      <c r="H12" t="s">
        <v>15</v>
      </c>
      <c r="I12" t="s">
        <v>209</v>
      </c>
      <c r="J12">
        <f t="shared" si="0"/>
        <v>2</v>
      </c>
      <c r="M12">
        <v>7</v>
      </c>
      <c r="N12" t="s">
        <v>248</v>
      </c>
    </row>
    <row r="13" spans="6:14">
      <c r="F13" s="1" t="s">
        <v>227</v>
      </c>
      <c r="G13" s="1">
        <v>16</v>
      </c>
      <c r="H13" t="s">
        <v>250</v>
      </c>
      <c r="I13" t="s">
        <v>101</v>
      </c>
      <c r="J13">
        <f t="shared" si="0"/>
        <v>16</v>
      </c>
      <c r="M13">
        <v>8</v>
      </c>
      <c r="N13" t="s">
        <v>247</v>
      </c>
    </row>
    <row r="14" spans="6:14">
      <c r="F14" s="1" t="s">
        <v>10</v>
      </c>
      <c r="G14" s="1">
        <v>4</v>
      </c>
      <c r="H14" t="s">
        <v>10</v>
      </c>
      <c r="I14" t="s">
        <v>219</v>
      </c>
      <c r="J14">
        <f t="shared" si="0"/>
        <v>4</v>
      </c>
      <c r="M14">
        <v>9</v>
      </c>
      <c r="N14" t="s">
        <v>216</v>
      </c>
    </row>
    <row r="15" spans="6:14">
      <c r="F15" s="6" t="s">
        <v>35</v>
      </c>
      <c r="G15" s="1">
        <v>15</v>
      </c>
      <c r="H15" t="s">
        <v>35</v>
      </c>
      <c r="I15" t="s">
        <v>35</v>
      </c>
      <c r="J15">
        <f t="shared" si="0"/>
        <v>15</v>
      </c>
      <c r="M15">
        <v>10</v>
      </c>
      <c r="N15" t="s">
        <v>215</v>
      </c>
    </row>
    <row r="16" spans="6:14">
      <c r="F16" s="1" t="s">
        <v>251</v>
      </c>
      <c r="G16" s="1">
        <v>1</v>
      </c>
      <c r="H16" t="s">
        <v>254</v>
      </c>
      <c r="I16" t="s">
        <v>214</v>
      </c>
      <c r="J16">
        <f t="shared" si="0"/>
        <v>11</v>
      </c>
      <c r="M16">
        <v>11</v>
      </c>
      <c r="N16" t="s">
        <v>213</v>
      </c>
    </row>
    <row r="17" spans="6:14">
      <c r="F17" s="1" t="s">
        <v>252</v>
      </c>
      <c r="G17" s="1">
        <v>16</v>
      </c>
      <c r="H17" t="s">
        <v>256</v>
      </c>
      <c r="I17" t="s">
        <v>214</v>
      </c>
      <c r="J17">
        <f t="shared" si="0"/>
        <v>11</v>
      </c>
      <c r="M17">
        <v>12</v>
      </c>
      <c r="N17" t="s">
        <v>249</v>
      </c>
    </row>
    <row r="18" spans="6:14">
      <c r="F18" s="1" t="s">
        <v>82</v>
      </c>
      <c r="G18" s="1">
        <v>16</v>
      </c>
      <c r="H18" t="s">
        <v>255</v>
      </c>
      <c r="I18" t="s">
        <v>215</v>
      </c>
      <c r="J18">
        <f t="shared" si="0"/>
        <v>10</v>
      </c>
      <c r="M18">
        <v>13</v>
      </c>
      <c r="N18" t="s">
        <v>259</v>
      </c>
    </row>
    <row r="19" spans="6:14">
      <c r="F19" s="1" t="s">
        <v>253</v>
      </c>
      <c r="G19" s="1">
        <v>17</v>
      </c>
      <c r="H19" t="s">
        <v>85</v>
      </c>
      <c r="I19" t="s">
        <v>215</v>
      </c>
      <c r="J19">
        <f t="shared" si="0"/>
        <v>10</v>
      </c>
      <c r="M19">
        <v>14</v>
      </c>
      <c r="N19" t="s">
        <v>260</v>
      </c>
    </row>
    <row r="20" spans="6:14">
      <c r="F20" s="1" t="s">
        <v>127</v>
      </c>
      <c r="G20" s="1">
        <v>9</v>
      </c>
      <c r="H20" t="s">
        <v>84</v>
      </c>
      <c r="I20" t="s">
        <v>215</v>
      </c>
      <c r="J20">
        <f t="shared" si="0"/>
        <v>10</v>
      </c>
      <c r="M20">
        <v>15</v>
      </c>
      <c r="N20" t="s">
        <v>35</v>
      </c>
    </row>
    <row r="21" spans="6:14">
      <c r="F21" s="1" t="s">
        <v>99</v>
      </c>
      <c r="G21" s="1">
        <v>9</v>
      </c>
      <c r="H21" t="s">
        <v>182</v>
      </c>
      <c r="I21" t="s">
        <v>215</v>
      </c>
      <c r="J21">
        <f t="shared" si="0"/>
        <v>10</v>
      </c>
      <c r="M21">
        <v>16</v>
      </c>
      <c r="N21" t="s">
        <v>101</v>
      </c>
    </row>
    <row r="22" spans="6:14">
      <c r="F22" s="1" t="s">
        <v>24</v>
      </c>
      <c r="G22" s="1">
        <v>9</v>
      </c>
      <c r="H22" t="s">
        <v>257</v>
      </c>
      <c r="I22" t="s">
        <v>214</v>
      </c>
      <c r="J22">
        <f t="shared" si="0"/>
        <v>11</v>
      </c>
      <c r="M22">
        <v>17</v>
      </c>
      <c r="N22" t="s">
        <v>211</v>
      </c>
    </row>
    <row r="23" spans="6:14">
      <c r="F23" s="1" t="s">
        <v>153</v>
      </c>
      <c r="G23" s="1">
        <v>11</v>
      </c>
      <c r="H23" t="s">
        <v>228</v>
      </c>
      <c r="I23" t="s">
        <v>249</v>
      </c>
      <c r="J23">
        <f t="shared" si="0"/>
        <v>12</v>
      </c>
    </row>
    <row r="24" spans="6:14">
      <c r="F24" s="1" t="s">
        <v>103</v>
      </c>
      <c r="G24" s="1">
        <v>11</v>
      </c>
      <c r="H24" t="s">
        <v>258</v>
      </c>
      <c r="I24" t="s">
        <v>214</v>
      </c>
      <c r="J24">
        <f t="shared" si="0"/>
        <v>11</v>
      </c>
    </row>
    <row r="25" spans="6:14">
      <c r="F25" s="1" t="s">
        <v>70</v>
      </c>
      <c r="G25" s="1">
        <v>11</v>
      </c>
      <c r="H25" t="s">
        <v>95</v>
      </c>
      <c r="I25" t="s">
        <v>216</v>
      </c>
      <c r="J25">
        <f t="shared" si="0"/>
        <v>9</v>
      </c>
    </row>
    <row r="26" spans="6:14">
      <c r="F26" s="1" t="s">
        <v>125</v>
      </c>
      <c r="G26" s="1">
        <v>10</v>
      </c>
      <c r="H26" t="s">
        <v>106</v>
      </c>
      <c r="I26" t="s">
        <v>215</v>
      </c>
      <c r="J26">
        <f t="shared" si="0"/>
        <v>10</v>
      </c>
    </row>
    <row r="27" spans="6:14">
      <c r="F27" s="1" t="s">
        <v>85</v>
      </c>
      <c r="G27" s="1">
        <v>10</v>
      </c>
      <c r="H27" t="s">
        <v>261</v>
      </c>
      <c r="I27" t="s">
        <v>215</v>
      </c>
      <c r="J27">
        <f t="shared" si="0"/>
        <v>10</v>
      </c>
    </row>
    <row r="28" spans="6:14">
      <c r="F28" s="1" t="s">
        <v>84</v>
      </c>
      <c r="G28" s="1">
        <v>10</v>
      </c>
      <c r="H28" t="s">
        <v>229</v>
      </c>
      <c r="I28" t="s">
        <v>216</v>
      </c>
      <c r="J28">
        <f t="shared" si="0"/>
        <v>9</v>
      </c>
    </row>
    <row r="29" spans="6:14">
      <c r="F29" s="1" t="s">
        <v>182</v>
      </c>
      <c r="G29" s="1">
        <v>10</v>
      </c>
      <c r="H29" t="s">
        <v>230</v>
      </c>
      <c r="I29" t="s">
        <v>215</v>
      </c>
      <c r="J29">
        <f t="shared" si="0"/>
        <v>10</v>
      </c>
    </row>
    <row r="30" spans="6:14">
      <c r="F30" s="1" t="s">
        <v>65</v>
      </c>
      <c r="G30" s="1">
        <v>10</v>
      </c>
      <c r="H30" t="s">
        <v>262</v>
      </c>
      <c r="I30" t="s">
        <v>214</v>
      </c>
      <c r="J30">
        <f t="shared" si="0"/>
        <v>11</v>
      </c>
    </row>
    <row r="31" spans="6:14">
      <c r="F31" s="1" t="s">
        <v>30</v>
      </c>
      <c r="G31" s="1">
        <v>11</v>
      </c>
      <c r="H31" t="s">
        <v>131</v>
      </c>
      <c r="I31" t="s">
        <v>216</v>
      </c>
      <c r="J31">
        <f t="shared" si="0"/>
        <v>9</v>
      </c>
    </row>
    <row r="32" spans="6:14">
      <c r="F32" s="1" t="s">
        <v>67</v>
      </c>
      <c r="G32" s="1">
        <v>12</v>
      </c>
      <c r="H32" t="s">
        <v>129</v>
      </c>
      <c r="I32" t="s">
        <v>259</v>
      </c>
      <c r="J32">
        <f t="shared" si="0"/>
        <v>13</v>
      </c>
    </row>
    <row r="33" spans="6:10">
      <c r="F33" s="1" t="s">
        <v>160</v>
      </c>
      <c r="G33" s="1">
        <v>11</v>
      </c>
      <c r="H33" t="s">
        <v>130</v>
      </c>
      <c r="I33" t="s">
        <v>207</v>
      </c>
      <c r="J33">
        <f t="shared" si="0"/>
        <v>1</v>
      </c>
    </row>
    <row r="34" spans="6:10">
      <c r="F34" s="1" t="s">
        <v>95</v>
      </c>
      <c r="G34" s="1">
        <v>9</v>
      </c>
      <c r="H34" t="s">
        <v>132</v>
      </c>
      <c r="I34" t="s">
        <v>210</v>
      </c>
      <c r="J34">
        <f t="shared" si="0"/>
        <v>2</v>
      </c>
    </row>
    <row r="35" spans="6:10">
      <c r="F35" s="1" t="s">
        <v>106</v>
      </c>
      <c r="G35" s="1">
        <v>10</v>
      </c>
      <c r="H35" t="s">
        <v>77</v>
      </c>
      <c r="I35" t="s">
        <v>101</v>
      </c>
      <c r="J35">
        <f t="shared" si="0"/>
        <v>16</v>
      </c>
    </row>
    <row r="36" spans="6:10">
      <c r="F36" s="1" t="s">
        <v>96</v>
      </c>
      <c r="G36" s="1">
        <v>10</v>
      </c>
      <c r="H36" t="s">
        <v>178</v>
      </c>
      <c r="I36" t="s">
        <v>101</v>
      </c>
      <c r="J36">
        <f t="shared" si="0"/>
        <v>16</v>
      </c>
    </row>
    <row r="37" spans="6:10">
      <c r="F37" s="1" t="s">
        <v>53</v>
      </c>
      <c r="G37" s="1">
        <v>9</v>
      </c>
      <c r="H37" t="s">
        <v>86</v>
      </c>
      <c r="I37" t="s">
        <v>1</v>
      </c>
      <c r="J37">
        <f t="shared" si="0"/>
        <v>1</v>
      </c>
    </row>
    <row r="38" spans="6:10">
      <c r="F38" s="1" t="s">
        <v>156</v>
      </c>
      <c r="G38" s="1">
        <v>10</v>
      </c>
      <c r="H38" t="s">
        <v>202</v>
      </c>
      <c r="I38" t="s">
        <v>246</v>
      </c>
      <c r="J38">
        <f t="shared" si="0"/>
        <v>6</v>
      </c>
    </row>
    <row r="39" spans="6:10">
      <c r="F39" s="1" t="s">
        <v>81</v>
      </c>
      <c r="G39" s="1">
        <v>11</v>
      </c>
      <c r="H39" t="s">
        <v>231</v>
      </c>
      <c r="I39" t="s">
        <v>220</v>
      </c>
      <c r="J39">
        <f t="shared" si="0"/>
        <v>6</v>
      </c>
    </row>
    <row r="40" spans="6:10">
      <c r="F40" s="1" t="s">
        <v>131</v>
      </c>
      <c r="G40" s="1">
        <v>9</v>
      </c>
      <c r="H40" t="s">
        <v>188</v>
      </c>
      <c r="I40" t="s">
        <v>219</v>
      </c>
      <c r="J40">
        <f t="shared" si="0"/>
        <v>4</v>
      </c>
    </row>
    <row r="41" spans="6:10">
      <c r="F41" s="1" t="s">
        <v>129</v>
      </c>
      <c r="G41" s="1">
        <v>13</v>
      </c>
      <c r="H41" t="s">
        <v>11</v>
      </c>
      <c r="I41" t="s">
        <v>1</v>
      </c>
      <c r="J41">
        <f t="shared" si="0"/>
        <v>1</v>
      </c>
    </row>
    <row r="42" spans="6:10">
      <c r="F42" s="1" t="s">
        <v>130</v>
      </c>
      <c r="G42" s="1">
        <v>1</v>
      </c>
      <c r="H42" t="s">
        <v>114</v>
      </c>
      <c r="I42" t="s">
        <v>212</v>
      </c>
      <c r="J42">
        <f t="shared" si="0"/>
        <v>17</v>
      </c>
    </row>
    <row r="43" spans="6:10">
      <c r="F43" s="1" t="s">
        <v>132</v>
      </c>
      <c r="G43" s="1">
        <v>2</v>
      </c>
      <c r="H43" t="s">
        <v>172</v>
      </c>
      <c r="I43" t="s">
        <v>1</v>
      </c>
      <c r="J43">
        <f t="shared" si="0"/>
        <v>1</v>
      </c>
    </row>
    <row r="44" spans="6:10">
      <c r="F44" s="1" t="s">
        <v>77</v>
      </c>
      <c r="G44" s="1">
        <v>16</v>
      </c>
      <c r="H44" t="s">
        <v>232</v>
      </c>
      <c r="I44" t="s">
        <v>101</v>
      </c>
      <c r="J44">
        <f t="shared" si="0"/>
        <v>16</v>
      </c>
    </row>
    <row r="45" spans="6:10">
      <c r="F45" s="1" t="s">
        <v>178</v>
      </c>
      <c r="G45" s="1">
        <v>16</v>
      </c>
      <c r="H45" t="s">
        <v>233</v>
      </c>
      <c r="I45" t="s">
        <v>101</v>
      </c>
      <c r="J45">
        <f t="shared" si="0"/>
        <v>16</v>
      </c>
    </row>
    <row r="46" spans="6:10">
      <c r="F46" s="1" t="s">
        <v>86</v>
      </c>
      <c r="G46" s="1">
        <v>1</v>
      </c>
      <c r="H46" t="s">
        <v>57</v>
      </c>
      <c r="I46" t="s">
        <v>207</v>
      </c>
      <c r="J46">
        <f t="shared" si="0"/>
        <v>1</v>
      </c>
    </row>
    <row r="47" spans="6:10">
      <c r="F47" s="1" t="s">
        <v>202</v>
      </c>
      <c r="G47" s="1">
        <v>6</v>
      </c>
      <c r="H47" t="s">
        <v>234</v>
      </c>
      <c r="I47" t="s">
        <v>1</v>
      </c>
      <c r="J47">
        <f t="shared" si="0"/>
        <v>1</v>
      </c>
    </row>
    <row r="48" spans="6:10">
      <c r="F48" s="1" t="s">
        <v>197</v>
      </c>
      <c r="G48" s="1">
        <v>6</v>
      </c>
      <c r="H48" t="s">
        <v>25</v>
      </c>
      <c r="I48" t="s">
        <v>1</v>
      </c>
      <c r="J48">
        <f t="shared" si="0"/>
        <v>1</v>
      </c>
    </row>
    <row r="49" spans="6:10">
      <c r="F49" s="1" t="s">
        <v>188</v>
      </c>
      <c r="G49" s="1">
        <v>4</v>
      </c>
      <c r="H49" t="s">
        <v>39</v>
      </c>
      <c r="I49" t="s">
        <v>216</v>
      </c>
      <c r="J49">
        <f t="shared" si="0"/>
        <v>9</v>
      </c>
    </row>
    <row r="50" spans="6:10">
      <c r="F50" s="1" t="s">
        <v>1</v>
      </c>
      <c r="G50" s="1">
        <v>1</v>
      </c>
      <c r="H50" t="s">
        <v>235</v>
      </c>
      <c r="I50" t="s">
        <v>260</v>
      </c>
      <c r="J50">
        <f t="shared" si="0"/>
        <v>14</v>
      </c>
    </row>
    <row r="51" spans="6:10">
      <c r="F51" s="1" t="s">
        <v>164</v>
      </c>
      <c r="G51" s="1">
        <v>1</v>
      </c>
      <c r="H51" t="s">
        <v>236</v>
      </c>
      <c r="I51" t="s">
        <v>259</v>
      </c>
      <c r="J51">
        <f>INDEX(M$6:M$22,MATCH(I51,N$6:N$22,0))</f>
        <v>13</v>
      </c>
    </row>
    <row r="52" spans="6:10">
      <c r="F52" s="1" t="s">
        <v>11</v>
      </c>
      <c r="G52" s="1">
        <v>1</v>
      </c>
      <c r="H52" t="s">
        <v>43</v>
      </c>
      <c r="I52" t="s">
        <v>259</v>
      </c>
      <c r="J52">
        <f>INDEX(M$6:M$22,MATCH(I52,N$6:N$22,0))</f>
        <v>13</v>
      </c>
    </row>
    <row r="53" spans="6:10">
      <c r="F53" s="1" t="s">
        <v>114</v>
      </c>
      <c r="G53" s="1">
        <v>17</v>
      </c>
      <c r="H53" t="s">
        <v>161</v>
      </c>
      <c r="I53" t="s">
        <v>101</v>
      </c>
      <c r="J53">
        <f t="shared" si="0"/>
        <v>16</v>
      </c>
    </row>
    <row r="54" spans="6:10">
      <c r="F54" s="1" t="s">
        <v>172</v>
      </c>
      <c r="G54" s="1">
        <v>1</v>
      </c>
      <c r="H54" t="s">
        <v>49</v>
      </c>
      <c r="I54" t="s">
        <v>218</v>
      </c>
      <c r="J54">
        <f t="shared" si="0"/>
        <v>5</v>
      </c>
    </row>
    <row r="55" spans="6:10">
      <c r="F55" s="1" t="s">
        <v>152</v>
      </c>
      <c r="G55" s="1">
        <v>16</v>
      </c>
      <c r="H55" t="s">
        <v>119</v>
      </c>
      <c r="I55" t="s">
        <v>101</v>
      </c>
      <c r="J55">
        <f t="shared" si="0"/>
        <v>16</v>
      </c>
    </row>
    <row r="56" spans="6:10">
      <c r="F56" s="1" t="s">
        <v>145</v>
      </c>
      <c r="G56" s="1">
        <v>16</v>
      </c>
      <c r="H56" t="s">
        <v>174</v>
      </c>
      <c r="I56" t="s">
        <v>1</v>
      </c>
      <c r="J56">
        <f t="shared" si="0"/>
        <v>1</v>
      </c>
    </row>
    <row r="57" spans="6:10">
      <c r="F57" s="1" t="s">
        <v>57</v>
      </c>
      <c r="G57" s="1">
        <v>1</v>
      </c>
      <c r="H57" t="s">
        <v>198</v>
      </c>
      <c r="I57" t="s">
        <v>1</v>
      </c>
      <c r="J57">
        <f t="shared" si="0"/>
        <v>1</v>
      </c>
    </row>
    <row r="58" spans="6:10">
      <c r="F58" s="1" t="s">
        <v>111</v>
      </c>
      <c r="G58" s="1">
        <v>1</v>
      </c>
      <c r="H58" t="s">
        <v>237</v>
      </c>
      <c r="I58" t="s">
        <v>208</v>
      </c>
      <c r="J58">
        <f t="shared" si="0"/>
        <v>3</v>
      </c>
    </row>
    <row r="59" spans="6:10">
      <c r="F59" s="1" t="s">
        <v>25</v>
      </c>
      <c r="G59" s="1">
        <v>1</v>
      </c>
      <c r="H59" t="s">
        <v>18</v>
      </c>
      <c r="I59" t="s">
        <v>208</v>
      </c>
      <c r="J59">
        <f t="shared" si="0"/>
        <v>3</v>
      </c>
    </row>
    <row r="60" spans="6:10">
      <c r="F60" s="1" t="s">
        <v>39</v>
      </c>
      <c r="G60" s="1">
        <v>9</v>
      </c>
      <c r="H60" t="s">
        <v>205</v>
      </c>
      <c r="I60" t="s">
        <v>101</v>
      </c>
      <c r="J60">
        <f t="shared" si="0"/>
        <v>16</v>
      </c>
    </row>
    <row r="61" spans="6:10">
      <c r="F61" s="1" t="s">
        <v>42</v>
      </c>
      <c r="G61" s="1">
        <v>9</v>
      </c>
      <c r="H61" t="s">
        <v>238</v>
      </c>
      <c r="I61" t="s">
        <v>218</v>
      </c>
      <c r="J61">
        <f t="shared" si="0"/>
        <v>5</v>
      </c>
    </row>
    <row r="62" spans="6:10">
      <c r="F62" s="1" t="s">
        <v>123</v>
      </c>
      <c r="G62" s="1">
        <v>14</v>
      </c>
      <c r="H62" t="s">
        <v>136</v>
      </c>
      <c r="I62" t="s">
        <v>221</v>
      </c>
      <c r="J62">
        <f t="shared" si="0"/>
        <v>7</v>
      </c>
    </row>
    <row r="63" spans="6:10">
      <c r="F63" s="1" t="s">
        <v>40</v>
      </c>
      <c r="G63" s="1">
        <v>13</v>
      </c>
      <c r="H63" t="s">
        <v>185</v>
      </c>
      <c r="I63" t="s">
        <v>222</v>
      </c>
      <c r="J63">
        <f t="shared" si="0"/>
        <v>8</v>
      </c>
    </row>
    <row r="64" spans="6:10">
      <c r="F64" s="1" t="s">
        <v>43</v>
      </c>
      <c r="G64" s="1">
        <v>13</v>
      </c>
      <c r="H64" t="s">
        <v>239</v>
      </c>
      <c r="I64" t="s">
        <v>218</v>
      </c>
      <c r="J64">
        <f t="shared" si="0"/>
        <v>5</v>
      </c>
    </row>
    <row r="65" spans="6:10">
      <c r="F65" s="1" t="s">
        <v>161</v>
      </c>
      <c r="G65" s="1">
        <v>16</v>
      </c>
      <c r="H65" t="s">
        <v>75</v>
      </c>
      <c r="I65" t="s">
        <v>214</v>
      </c>
      <c r="J65">
        <f t="shared" si="0"/>
        <v>11</v>
      </c>
    </row>
    <row r="66" spans="6:10">
      <c r="F66" s="1" t="s">
        <v>49</v>
      </c>
      <c r="G66" s="1">
        <v>5</v>
      </c>
      <c r="H66" t="s">
        <v>240</v>
      </c>
      <c r="I66" t="s">
        <v>101</v>
      </c>
      <c r="J66">
        <f t="shared" si="0"/>
        <v>16</v>
      </c>
    </row>
    <row r="67" spans="6:10">
      <c r="F67" s="1" t="s">
        <v>119</v>
      </c>
      <c r="G67" s="1">
        <v>16</v>
      </c>
      <c r="H67" t="s">
        <v>33</v>
      </c>
      <c r="I67" t="s">
        <v>1</v>
      </c>
      <c r="J67">
        <f t="shared" si="0"/>
        <v>1</v>
      </c>
    </row>
    <row r="68" spans="6:10">
      <c r="F68" s="1" t="s">
        <v>174</v>
      </c>
      <c r="G68" s="1">
        <v>1</v>
      </c>
      <c r="H68" t="s">
        <v>193</v>
      </c>
      <c r="I68" t="s">
        <v>207</v>
      </c>
      <c r="J68">
        <f t="shared" si="0"/>
        <v>1</v>
      </c>
    </row>
    <row r="69" spans="6:10">
      <c r="F69" s="1" t="s">
        <v>198</v>
      </c>
      <c r="G69" s="1">
        <v>1</v>
      </c>
      <c r="H69" t="s">
        <v>3</v>
      </c>
      <c r="I69" t="s">
        <v>245</v>
      </c>
      <c r="J69">
        <f t="shared" si="0"/>
        <v>4</v>
      </c>
    </row>
    <row r="70" spans="6:10">
      <c r="F70" s="1" t="s">
        <v>15</v>
      </c>
      <c r="G70" s="1">
        <v>2</v>
      </c>
      <c r="H70" t="s">
        <v>241</v>
      </c>
      <c r="I70" t="s">
        <v>220</v>
      </c>
      <c r="J70">
        <f t="shared" si="0"/>
        <v>6</v>
      </c>
    </row>
    <row r="71" spans="6:10">
      <c r="F71" s="1" t="s">
        <v>27</v>
      </c>
      <c r="G71" s="1">
        <v>2</v>
      </c>
      <c r="H71" t="s">
        <v>242</v>
      </c>
      <c r="I71" t="s">
        <v>221</v>
      </c>
      <c r="J71">
        <f t="shared" ref="J71:J94" si="1">INDEX(M$6:M$22,MATCH(I71,N$6:N$22,0))</f>
        <v>7</v>
      </c>
    </row>
    <row r="72" spans="6:10">
      <c r="F72" s="1" t="s">
        <v>116</v>
      </c>
      <c r="G72" s="1">
        <v>3</v>
      </c>
      <c r="H72" t="s">
        <v>13</v>
      </c>
      <c r="I72" t="s">
        <v>219</v>
      </c>
      <c r="J72">
        <f t="shared" si="1"/>
        <v>4</v>
      </c>
    </row>
    <row r="73" spans="6:10">
      <c r="F73" s="1" t="s">
        <v>18</v>
      </c>
      <c r="G73" s="1">
        <v>3</v>
      </c>
      <c r="H73" t="s">
        <v>14</v>
      </c>
      <c r="I73" t="s">
        <v>219</v>
      </c>
      <c r="J73">
        <f t="shared" si="1"/>
        <v>4</v>
      </c>
    </row>
    <row r="74" spans="6:10">
      <c r="F74" s="1" t="s">
        <v>59</v>
      </c>
      <c r="G74" s="1">
        <v>3</v>
      </c>
      <c r="H74" t="s">
        <v>171</v>
      </c>
      <c r="I74" t="s">
        <v>220</v>
      </c>
      <c r="J74">
        <f t="shared" si="1"/>
        <v>6</v>
      </c>
    </row>
    <row r="75" spans="6:10">
      <c r="F75" s="1" t="s">
        <v>265</v>
      </c>
      <c r="G75" s="1">
        <v>5</v>
      </c>
      <c r="H75" t="s">
        <v>263</v>
      </c>
      <c r="I75" t="s">
        <v>218</v>
      </c>
      <c r="J75">
        <f t="shared" si="1"/>
        <v>5</v>
      </c>
    </row>
    <row r="76" spans="6:10">
      <c r="F76" s="1" t="s">
        <v>205</v>
      </c>
      <c r="G76" s="1">
        <v>16</v>
      </c>
      <c r="H76" t="s">
        <v>243</v>
      </c>
      <c r="I76" t="s">
        <v>218</v>
      </c>
      <c r="J76">
        <f t="shared" si="1"/>
        <v>5</v>
      </c>
    </row>
    <row r="77" spans="6:10">
      <c r="F77" s="1" t="s">
        <v>204</v>
      </c>
      <c r="G77" s="1">
        <v>5</v>
      </c>
      <c r="H77" t="s">
        <v>0</v>
      </c>
      <c r="I77" t="s">
        <v>220</v>
      </c>
      <c r="J77">
        <f t="shared" si="1"/>
        <v>6</v>
      </c>
    </row>
    <row r="78" spans="6:10">
      <c r="F78" s="1" t="s">
        <v>10</v>
      </c>
      <c r="G78" s="1">
        <v>4</v>
      </c>
      <c r="H78" t="s">
        <v>142</v>
      </c>
      <c r="I78" t="s">
        <v>245</v>
      </c>
      <c r="J78">
        <f t="shared" si="1"/>
        <v>4</v>
      </c>
    </row>
    <row r="79" spans="6:10">
      <c r="F79" s="1" t="s">
        <v>5</v>
      </c>
      <c r="G79" s="1">
        <v>4</v>
      </c>
      <c r="H79" t="s">
        <v>150</v>
      </c>
      <c r="I79" t="s">
        <v>218</v>
      </c>
      <c r="J79">
        <f t="shared" si="1"/>
        <v>5</v>
      </c>
    </row>
    <row r="80" spans="6:10">
      <c r="F80" s="1" t="s">
        <v>55</v>
      </c>
      <c r="G80" s="1">
        <v>7</v>
      </c>
      <c r="H80" t="s">
        <v>90</v>
      </c>
      <c r="I80" t="s">
        <v>218</v>
      </c>
      <c r="J80">
        <f t="shared" si="1"/>
        <v>5</v>
      </c>
    </row>
    <row r="81" spans="6:10">
      <c r="F81" s="1" t="s">
        <v>176</v>
      </c>
      <c r="G81" s="1">
        <v>6</v>
      </c>
      <c r="H81" t="s">
        <v>28</v>
      </c>
      <c r="I81" t="s">
        <v>35</v>
      </c>
      <c r="J81">
        <f t="shared" si="1"/>
        <v>15</v>
      </c>
    </row>
    <row r="82" spans="6:10">
      <c r="F82" s="1" t="s">
        <v>121</v>
      </c>
      <c r="G82" s="1">
        <v>7</v>
      </c>
      <c r="H82" t="s">
        <v>264</v>
      </c>
      <c r="I82" t="s">
        <v>207</v>
      </c>
      <c r="J82">
        <f t="shared" si="1"/>
        <v>1</v>
      </c>
    </row>
    <row r="83" spans="6:10">
      <c r="F83" s="1" t="s">
        <v>46</v>
      </c>
      <c r="G83" s="1">
        <v>7</v>
      </c>
      <c r="H83" t="s">
        <v>50</v>
      </c>
      <c r="I83" t="s">
        <v>245</v>
      </c>
      <c r="J83">
        <f t="shared" si="1"/>
        <v>4</v>
      </c>
    </row>
    <row r="84" spans="6:10">
      <c r="F84" s="1" t="s">
        <v>185</v>
      </c>
      <c r="G84" s="1">
        <v>8</v>
      </c>
      <c r="H84" t="s">
        <v>97</v>
      </c>
      <c r="I84" t="s">
        <v>1</v>
      </c>
      <c r="J84">
        <f t="shared" si="1"/>
        <v>1</v>
      </c>
    </row>
    <row r="85" spans="6:10">
      <c r="F85" s="1" t="s">
        <v>167</v>
      </c>
      <c r="G85" s="1">
        <v>7</v>
      </c>
      <c r="H85" t="s">
        <v>31</v>
      </c>
      <c r="I85" t="s">
        <v>101</v>
      </c>
      <c r="J85">
        <f t="shared" si="1"/>
        <v>16</v>
      </c>
    </row>
    <row r="86" spans="6:10">
      <c r="F86" s="1" t="s">
        <v>169</v>
      </c>
      <c r="G86" s="1">
        <v>5</v>
      </c>
      <c r="H86" t="s">
        <v>244</v>
      </c>
      <c r="I86" t="s">
        <v>219</v>
      </c>
      <c r="J86">
        <f t="shared" si="1"/>
        <v>4</v>
      </c>
    </row>
    <row r="87" spans="6:10">
      <c r="F87" s="1" t="s">
        <v>75</v>
      </c>
      <c r="G87" s="1">
        <v>11</v>
      </c>
      <c r="H87" t="s">
        <v>200</v>
      </c>
      <c r="I87" t="s">
        <v>220</v>
      </c>
      <c r="J87">
        <f t="shared" si="1"/>
        <v>6</v>
      </c>
    </row>
    <row r="88" spans="6:10">
      <c r="F88" s="1" t="s">
        <v>74</v>
      </c>
      <c r="G88" s="1">
        <v>16</v>
      </c>
      <c r="H88" t="s">
        <v>128</v>
      </c>
      <c r="I88" t="s">
        <v>207</v>
      </c>
      <c r="J88">
        <f t="shared" si="1"/>
        <v>1</v>
      </c>
    </row>
    <row r="89" spans="6:10">
      <c r="F89" s="1" t="s">
        <v>33</v>
      </c>
      <c r="G89" s="1">
        <v>1</v>
      </c>
      <c r="H89" t="s">
        <v>71</v>
      </c>
      <c r="I89" t="s">
        <v>101</v>
      </c>
      <c r="J89">
        <f t="shared" si="1"/>
        <v>16</v>
      </c>
    </row>
    <row r="90" spans="6:10">
      <c r="F90" s="1" t="s">
        <v>193</v>
      </c>
      <c r="G90" s="1">
        <v>1</v>
      </c>
      <c r="H90" t="s">
        <v>63</v>
      </c>
      <c r="I90" t="s">
        <v>101</v>
      </c>
      <c r="J90">
        <f t="shared" si="1"/>
        <v>16</v>
      </c>
    </row>
    <row r="91" spans="6:10">
      <c r="F91" s="1" t="s">
        <v>3</v>
      </c>
      <c r="G91" s="1">
        <v>4</v>
      </c>
      <c r="H91" t="s">
        <v>191</v>
      </c>
      <c r="I91" t="s">
        <v>246</v>
      </c>
      <c r="J91">
        <f t="shared" si="1"/>
        <v>6</v>
      </c>
    </row>
    <row r="92" spans="6:10">
      <c r="F92" s="1" t="s">
        <v>22</v>
      </c>
      <c r="G92" s="1">
        <v>4</v>
      </c>
      <c r="H92" t="s">
        <v>192</v>
      </c>
      <c r="I92" t="s">
        <v>220</v>
      </c>
      <c r="J92">
        <f t="shared" si="1"/>
        <v>6</v>
      </c>
    </row>
    <row r="93" spans="6:10">
      <c r="F93" s="1" t="s">
        <v>148</v>
      </c>
      <c r="G93" s="1">
        <v>6</v>
      </c>
      <c r="H93" t="s">
        <v>180</v>
      </c>
      <c r="I93" t="s">
        <v>220</v>
      </c>
      <c r="J93">
        <f t="shared" si="1"/>
        <v>6</v>
      </c>
    </row>
    <row r="94" spans="6:10">
      <c r="F94" s="1" t="s">
        <v>141</v>
      </c>
      <c r="G94" s="1">
        <v>7</v>
      </c>
      <c r="H94" t="s">
        <v>101</v>
      </c>
      <c r="I94" t="s">
        <v>101</v>
      </c>
      <c r="J94">
        <f t="shared" si="1"/>
        <v>16</v>
      </c>
    </row>
    <row r="95" spans="6:10">
      <c r="F95" s="1" t="s">
        <v>13</v>
      </c>
      <c r="G95" s="1">
        <v>4</v>
      </c>
    </row>
    <row r="96" spans="6:10">
      <c r="F96" s="1" t="s">
        <v>14</v>
      </c>
      <c r="G96" s="1">
        <v>4</v>
      </c>
    </row>
    <row r="97" spans="6:7">
      <c r="F97" s="1" t="s">
        <v>171</v>
      </c>
      <c r="G97" s="1">
        <v>6</v>
      </c>
    </row>
    <row r="98" spans="6:7">
      <c r="F98" s="1" t="s">
        <v>144</v>
      </c>
      <c r="G98" s="1">
        <v>5</v>
      </c>
    </row>
    <row r="99" spans="6:7">
      <c r="F99" s="1" t="s">
        <v>62</v>
      </c>
      <c r="G99" s="1">
        <v>5</v>
      </c>
    </row>
    <row r="100" spans="6:7">
      <c r="F100" s="1" t="s">
        <v>0</v>
      </c>
      <c r="G100" s="1">
        <v>6</v>
      </c>
    </row>
    <row r="101" spans="6:7">
      <c r="F101" s="1" t="s">
        <v>20</v>
      </c>
      <c r="G101" s="1">
        <v>6</v>
      </c>
    </row>
    <row r="102" spans="6:7">
      <c r="F102" s="1" t="s">
        <v>142</v>
      </c>
      <c r="G102" s="1">
        <v>4</v>
      </c>
    </row>
    <row r="103" spans="6:7">
      <c r="F103" s="1" t="s">
        <v>150</v>
      </c>
      <c r="G103" s="1">
        <v>5</v>
      </c>
    </row>
    <row r="104" spans="6:7">
      <c r="F104" s="1" t="s">
        <v>90</v>
      </c>
      <c r="G104" s="1">
        <v>5</v>
      </c>
    </row>
    <row r="105" spans="6:7">
      <c r="F105" s="1" t="s">
        <v>28</v>
      </c>
      <c r="G105" s="1">
        <v>15</v>
      </c>
    </row>
    <row r="106" spans="6:7">
      <c r="F106" s="1" t="s">
        <v>117</v>
      </c>
      <c r="G106" s="1">
        <v>1</v>
      </c>
    </row>
    <row r="107" spans="6:7">
      <c r="F107" s="1" t="s">
        <v>50</v>
      </c>
      <c r="G107" s="1">
        <v>4</v>
      </c>
    </row>
    <row r="108" spans="6:7">
      <c r="F108" s="1" t="s">
        <v>97</v>
      </c>
      <c r="G108" s="1">
        <v>1</v>
      </c>
    </row>
    <row r="109" spans="6:7">
      <c r="F109" s="1" t="s">
        <v>266</v>
      </c>
      <c r="G109" s="1">
        <v>5</v>
      </c>
    </row>
    <row r="110" spans="6:7">
      <c r="F110" s="1" t="s">
        <v>31</v>
      </c>
      <c r="G110" s="1">
        <v>16</v>
      </c>
    </row>
    <row r="111" spans="6:7">
      <c r="F111" s="1" t="s">
        <v>195</v>
      </c>
      <c r="G111" s="1">
        <v>4</v>
      </c>
    </row>
    <row r="112" spans="6:7">
      <c r="F112" s="1" t="s">
        <v>200</v>
      </c>
      <c r="G112" s="1">
        <v>6</v>
      </c>
    </row>
    <row r="113" spans="6:7">
      <c r="F113" s="1" t="s">
        <v>128</v>
      </c>
      <c r="G113" s="1">
        <v>1</v>
      </c>
    </row>
    <row r="114" spans="6:7">
      <c r="F114" s="1" t="s">
        <v>71</v>
      </c>
      <c r="G114" s="1">
        <v>16</v>
      </c>
    </row>
    <row r="115" spans="6:7">
      <c r="F115" s="1" t="s">
        <v>158</v>
      </c>
      <c r="G115" s="1">
        <v>16</v>
      </c>
    </row>
    <row r="116" spans="6:7">
      <c r="F116" s="1" t="s">
        <v>63</v>
      </c>
      <c r="G116" s="1">
        <v>16</v>
      </c>
    </row>
    <row r="117" spans="6:7">
      <c r="F117" s="1" t="s">
        <v>191</v>
      </c>
      <c r="G117" s="1">
        <v>6</v>
      </c>
    </row>
    <row r="118" spans="6:7">
      <c r="F118" s="1" t="s">
        <v>192</v>
      </c>
      <c r="G118" s="1">
        <v>6</v>
      </c>
    </row>
    <row r="119" spans="6:7">
      <c r="F119" s="1" t="s">
        <v>180</v>
      </c>
      <c r="G119" s="1">
        <v>6</v>
      </c>
    </row>
    <row r="120" spans="6:7">
      <c r="F120" s="1" t="s">
        <v>101</v>
      </c>
      <c r="G120" s="1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2025-05-22T21:05:03Z</dcterms:created>
  <dcterms:modified xsi:type="dcterms:W3CDTF">2025-06-11T15:48:04Z</dcterms:modified>
</cp:coreProperties>
</file>